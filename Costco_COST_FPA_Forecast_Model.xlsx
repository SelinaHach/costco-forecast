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 Analysis" sheetId="1" state="visible" r:id="rId3"/>
    <sheet name="Revenue Drivers" sheetId="2" state="visible" r:id="rId4"/>
    <sheet name="Assumptions" sheetId="3" state="visible" r:id="rId5"/>
    <sheet name="Income Statement" sheetId="4" state="visible" r:id="rId6"/>
    <sheet name="Scenario Analysis" sheetId="5" state="visible" r:id="rId7"/>
    <sheet name="FCF &amp; 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<sst xmlns="http://schemas.openxmlformats.org/spreadsheetml/2006/main" count="274" uniqueCount="198">
  <si>
    <t xml:space="preserve">COSTCO WHOLESALE CORPORATION (COST)</t>
  </si>
  <si>
    <t xml:space="preserve">Historical Analysis — FY2023A to FY2025A</t>
  </si>
  <si>
    <t xml:space="preserve">All figures in $mm unless noted | CAGR = 2-year (FY2023→FY2025)</t>
  </si>
  <si>
    <t xml:space="preserve">FY2023A</t>
  </si>
  <si>
    <t xml:space="preserve">FY2024A</t>
  </si>
  <si>
    <t xml:space="preserve">FY2025A</t>
  </si>
  <si>
    <t xml:space="preserve">2-Yr CAGR</t>
  </si>
  <si>
    <t xml:space="preserve">INCOME STATEMENT</t>
  </si>
  <si>
    <t xml:space="preserve">Net Sales</t>
  </si>
  <si>
    <t xml:space="preserve">Membership Fees</t>
  </si>
  <si>
    <t xml:space="preserve">Total Revenue</t>
  </si>
  <si>
    <t xml:space="preserve">Merchandise Costs</t>
  </si>
  <si>
    <t xml:space="preserve">Gross Profit</t>
  </si>
  <si>
    <t xml:space="preserve">SG&amp;A Expenses</t>
  </si>
  <si>
    <t xml:space="preserve">Operating Income</t>
  </si>
  <si>
    <t xml:space="preserve">Net Income</t>
  </si>
  <si>
    <t xml:space="preserve">Diluted EPS ($)</t>
  </si>
  <si>
    <t xml:space="preserve">KEY MARGINS</t>
  </si>
  <si>
    <t xml:space="preserve">Merchandise Margin %</t>
  </si>
  <si>
    <t xml:space="preserve">Gross Margin % (Total Rev)</t>
  </si>
  <si>
    <t xml:space="preserve">SG&amp;A % of Net Sales</t>
  </si>
  <si>
    <t xml:space="preserve">Operating Margin %</t>
  </si>
  <si>
    <t xml:space="preserve">Net Margin %</t>
  </si>
  <si>
    <t xml:space="preserve">Effective Tax Rate</t>
  </si>
  <si>
    <t xml:space="preserve">CASH FLOW</t>
  </si>
  <si>
    <t xml:space="preserve">Operating Cash Flow</t>
  </si>
  <si>
    <t xml:space="preserve">Capital Expenditures</t>
  </si>
  <si>
    <t xml:space="preserve">Free Cash Flow</t>
  </si>
  <si>
    <t xml:space="preserve">D&amp;A</t>
  </si>
  <si>
    <t xml:space="preserve">EBITDA</t>
  </si>
  <si>
    <t xml:space="preserve">OPERATIONAL KPIs</t>
  </si>
  <si>
    <t xml:space="preserve">Total Warehouses</t>
  </si>
  <si>
    <t xml:space="preserve">Net New Warehouses</t>
  </si>
  <si>
    <t xml:space="preserve">Total Paid Members (mm)</t>
  </si>
  <si>
    <t xml:space="preserve">Executive Members (mm)</t>
  </si>
  <si>
    <t xml:space="preserve">Total Cardholders (mm)</t>
  </si>
  <si>
    <t xml:space="preserve">Worldwide Renewal Rate</t>
  </si>
  <si>
    <t xml:space="preserve">Exec Sales Penetration</t>
  </si>
  <si>
    <t xml:space="preserve">Rev per Warehouse ($mm, Avg)</t>
  </si>
  <si>
    <t xml:space="preserve">Revenue Driver Decomposition</t>
  </si>
  <si>
    <t xml:space="preserve">All figures in $mm unless noted</t>
  </si>
  <si>
    <t xml:space="preserve">FY2026E</t>
  </si>
  <si>
    <t xml:space="preserve">FY2027E</t>
  </si>
  <si>
    <t xml:space="preserve">Notes</t>
  </si>
  <si>
    <t xml:space="preserve">DRIVER 1: WAREHOUSE COUNT × REVENUE PER WAREHOUSE</t>
  </si>
  <si>
    <t xml:space="preserve">Beginning Warehouses</t>
  </si>
  <si>
    <t xml:space="preserve">FactSet / 10-K</t>
  </si>
  <si>
    <t xml:space="preserve">Gross New Openings</t>
  </si>
  <si>
    <t xml:space="preserve">10-K: up to 35 incl 5 relocs for FY26</t>
  </si>
  <si>
    <t xml:space="preserve">Ending Warehouses</t>
  </si>
  <si>
    <t xml:space="preserve">Average Warehouses</t>
  </si>
  <si>
    <t xml:space="preserve">Net Sales ($mm)</t>
  </si>
  <si>
    <t xml:space="preserve">Rev per Warehouse ($mm, Avg basis)</t>
  </si>
  <si>
    <t xml:space="preserve">Net Sales / Avg Warehouses</t>
  </si>
  <si>
    <t xml:space="preserve">Rev per Warehouse Growth</t>
  </si>
  <si>
    <t xml:space="preserve">DRIVER 2: MEMBERSHIP ENGINE</t>
  </si>
  <si>
    <t xml:space="preserve">Gold Star Members (mm)</t>
  </si>
  <si>
    <t xml:space="preserve">10-K FY2025 p.5</t>
  </si>
  <si>
    <t xml:space="preserve">Business incl. Affiliates (mm)</t>
  </si>
  <si>
    <t xml:space="preserve">Worldwide Renewal Rate (%)</t>
  </si>
  <si>
    <t xml:space="preserve">Annual Fee ($)</t>
  </si>
  <si>
    <t xml:space="preserve">Increased to $65 eff. Sep 1, 2024</t>
  </si>
  <si>
    <t xml:space="preserve">Membership Fee Revenue ($mm)</t>
  </si>
  <si>
    <t xml:space="preserve">Implied Fee per Paid Member ($)</t>
  </si>
  <si>
    <t xml:space="preserve">Implied = Fees / Total Paid Members</t>
  </si>
  <si>
    <t xml:space="preserve">Executive Penetration (% of Paid)</t>
  </si>
  <si>
    <t xml:space="preserve">DRIVER 3: MARGIN STRUCTURE</t>
  </si>
  <si>
    <t xml:space="preserve">(Net Sales - COGS) / Net Sales</t>
  </si>
  <si>
    <t xml:space="preserve">Operating Income / Total Revenue</t>
  </si>
  <si>
    <t xml:space="preserve">10-K REFERENCE: AVG SALES PER WAREHOUSE (p.22)</t>
  </si>
  <si>
    <t xml:space="preserve">10-K Avg Sales/Warehouse (Total)</t>
  </si>
  <si>
    <t xml:space="preserve">Source: 10-K FY2025, p.22</t>
  </si>
  <si>
    <t xml:space="preserve">Mature Stores (2016 &amp; Before, 715 whses)</t>
  </si>
  <si>
    <t xml:space="preserve">10-yr CAGR ~6.8% ($159 to $287mm)</t>
  </si>
  <si>
    <t xml:space="preserve">New Stores (FY2023 cohort, 23 whses)</t>
  </si>
  <si>
    <t xml:space="preserve">Ramp to ~65% mature level by Yr 3</t>
  </si>
  <si>
    <t xml:space="preserve">New Store Ramp (% of Mature)</t>
  </si>
  <si>
    <t xml:space="preserve">FY2023 cohort vs mature stores</t>
  </si>
  <si>
    <t xml:space="preserve">Driver-Based Forecast — Assumption Inputs</t>
  </si>
  <si>
    <t xml:space="preserve">All monetary figures in $mm unless noted</t>
  </si>
  <si>
    <t xml:space="preserve">Source / Notes</t>
  </si>
  <si>
    <t xml:space="preserve">REVENUE DRIVERS</t>
  </si>
  <si>
    <t xml:space="preserve">Total Warehouses (EOY)</t>
  </si>
  <si>
    <t xml:space="preserve">Source: 10-K FY2025, p.4</t>
  </si>
  <si>
    <t xml:space="preserve">10-K: up to 35 incl. 5 relocs for FY2026</t>
  </si>
  <si>
    <t xml:space="preserve">Net Sales Growth (%)</t>
  </si>
  <si>
    <t xml:space="preserve">FY25 was 8%; modeled 8%/7% on comp + new stores</t>
  </si>
  <si>
    <t xml:space="preserve">Comparable Sales Growth (%)</t>
  </si>
  <si>
    <t xml:space="preserve">10-K: FY25 6% reported, 8% ex-FX/gas</t>
  </si>
  <si>
    <t xml:space="preserve">Net Sales per Warehouse ($mm, Avg)</t>
  </si>
  <si>
    <t xml:space="preserve">Net Sales / Avg Warehouses (Beg+End)/2</t>
  </si>
  <si>
    <t xml:space="preserve">MEMBERSHIP DRIVERS</t>
  </si>
  <si>
    <t xml:space="preserve">10-K FY2025 p.5: 81,000K paid members</t>
  </si>
  <si>
    <t xml:space="preserve">Paid Member Growth (%)</t>
  </si>
  <si>
    <t xml:space="preserve">Exec penetration: ~48% of paid (rising)</t>
  </si>
  <si>
    <t xml:space="preserve">Annual Membership Fee ($)</t>
  </si>
  <si>
    <t xml:space="preserve">Increased to $65 eff. Sep 1, 2024 (FY2025)</t>
  </si>
  <si>
    <t xml:space="preserve">10-K: 89.8% worldwide FY2025</t>
  </si>
  <si>
    <t xml:space="preserve">Membership Fee Growth (%)</t>
  </si>
  <si>
    <t xml:space="preserve">FY25 10% incl fee hike; ~7%/6% normalized</t>
  </si>
  <si>
    <t xml:space="preserve">Exec Sales Penetration (%)</t>
  </si>
  <si>
    <t xml:space="preserve">10-K: 73.6% of net sales FY2025</t>
  </si>
  <si>
    <t xml:space="preserve">MARGIN STRUCTURE</t>
  </si>
  <si>
    <t xml:space="preserve">Merchandise Margin % (Net Sales)</t>
  </si>
  <si>
    <t xml:space="preserve">Trend: +20bps FY25; +8bps / +5bps est.</t>
  </si>
  <si>
    <t xml:space="preserve">Trend: +6bps, +11bps; assume +3bps, +2bps (scale partially offsets wage pressure)</t>
  </si>
  <si>
    <t xml:space="preserve">BELOW THE LINE</t>
  </si>
  <si>
    <t xml:space="preserve">Interest Expense ($mm)</t>
  </si>
  <si>
    <t xml:space="preserve">Declining as Senior Notes mature</t>
  </si>
  <si>
    <t xml:space="preserve">Interest Income &amp; Other, net ($mm)</t>
  </si>
  <si>
    <t xml:space="preserve">Lower rates offset by higher cash</t>
  </si>
  <si>
    <t xml:space="preserve">Effective Tax Rate (%)</t>
  </si>
  <si>
    <t xml:space="preserve">FY24 low due to special div 401k benefit</t>
  </si>
  <si>
    <t xml:space="preserve">CASH FLOW &amp; SHARE DATA</t>
  </si>
  <si>
    <t xml:space="preserve">D&amp;A incl. Non-Cash Lease Exp ($mm)</t>
  </si>
  <si>
    <t xml:space="preserve">10-K CF: D&amp;A + non-cash lease exp</t>
  </si>
  <si>
    <t xml:space="preserve">Stock-Based Compensation ($mm)</t>
  </si>
  <si>
    <t xml:space="preserve">10-K Note 7; ~5% annual growth</t>
  </si>
  <si>
    <t xml:space="preserve">Capital Expenditures ($mm)</t>
  </si>
  <si>
    <t xml:space="preserve">10-K: $6,000-$6,500 guided for FY2026</t>
  </si>
  <si>
    <t xml:space="preserve">Working Capital Change ($mm)</t>
  </si>
  <si>
    <t xml:space="preserve">10-K CF; positive = source of cash</t>
  </si>
  <si>
    <t xml:space="preserve">Other Operating CF Items ($mm)</t>
  </si>
  <si>
    <t xml:space="preserve">Plug: deferred tax, impairments, other</t>
  </si>
  <si>
    <t xml:space="preserve">Diluted Shares Outstanding (mm)</t>
  </si>
  <si>
    <t xml:space="preserve">RSU dilution offset by buybacks</t>
  </si>
  <si>
    <t xml:space="preserve">COLOR LEGEND:</t>
  </si>
  <si>
    <t xml:space="preserve">Blue = Hardcoded actuals (10-K / FactSet verified)</t>
  </si>
  <si>
    <t xml:space="preserve">Green = Formula / calculated from other cells</t>
  </si>
  <si>
    <t xml:space="preserve">Grey + Yellow highlight = Estimated assumptions (key inputs to change)</t>
  </si>
  <si>
    <t xml:space="preserve">Consolidated Income Statement ($mm)</t>
  </si>
  <si>
    <t xml:space="preserve">Source: 10-K FY2025 (Actuals) | Driver-Based Model (Estimates)</t>
  </si>
  <si>
    <t xml:space="preserve">REVENUE</t>
  </si>
  <si>
    <t xml:space="preserve">OPERATING EXPENSES</t>
  </si>
  <si>
    <t xml:space="preserve">Selling, General &amp; Administrative</t>
  </si>
  <si>
    <t xml:space="preserve">Operating Income (EBIT)</t>
  </si>
  <si>
    <t xml:space="preserve">OTHER INCOME / (EXPENSE)</t>
  </si>
  <si>
    <t xml:space="preserve">Interest Expense</t>
  </si>
  <si>
    <t xml:space="preserve">Interest Income &amp; Other, net</t>
  </si>
  <si>
    <t xml:space="preserve">BOTTOM LINE</t>
  </si>
  <si>
    <t xml:space="preserve">Income Before Income Taxes</t>
  </si>
  <si>
    <t xml:space="preserve">Provision for Income Taxes</t>
  </si>
  <si>
    <t xml:space="preserve">PER SHARE DATA</t>
  </si>
  <si>
    <t xml:space="preserve">Diluted Shares (mm)</t>
  </si>
  <si>
    <t xml:space="preserve">KEY MARGINS &amp; GROWTH</t>
  </si>
  <si>
    <t xml:space="preserve">Net Sales Growth</t>
  </si>
  <si>
    <t xml:space="preserve">Total Revenue Growth</t>
  </si>
  <si>
    <t xml:space="preserve">Operating Income Growth</t>
  </si>
  <si>
    <t xml:space="preserve">Net Income Growth</t>
  </si>
  <si>
    <t xml:space="preserve">EPS Growth</t>
  </si>
  <si>
    <t xml:space="preserve">SUPPLEMENTAL</t>
  </si>
  <si>
    <t xml:space="preserve">FY2027E Scenario Analysis</t>
  </si>
  <si>
    <t xml:space="preserve">Three scenarios applied to FY2027E using FY2026E Base Case as starting point</t>
  </si>
  <si>
    <t xml:space="preserve">Bear Case</t>
  </si>
  <si>
    <t xml:space="preserve">Base Case</t>
  </si>
  <si>
    <t xml:space="preserve">Bull Case</t>
  </si>
  <si>
    <t xml:space="preserve">FY2026E Base</t>
  </si>
  <si>
    <t xml:space="preserve">SCENARIO ASSUMPTIONS</t>
  </si>
  <si>
    <t xml:space="preserve">Merchandise Margin (%)</t>
  </si>
  <si>
    <t xml:space="preserve">Interest Income &amp; Other ($mm)</t>
  </si>
  <si>
    <t xml:space="preserve">FY2027E PROJECTED P&amp;L ($mm)</t>
  </si>
  <si>
    <t xml:space="preserve">Pretax Income</t>
  </si>
  <si>
    <t xml:space="preserve">SCENARIO MARGINS</t>
  </si>
  <si>
    <t xml:space="preserve">EPS vs Base Case</t>
  </si>
  <si>
    <t xml:space="preserve">Free Cash Flow Build &amp; Implied Valuation</t>
  </si>
  <si>
    <t xml:space="preserve">FREE CASH FLOW BUILD</t>
  </si>
  <si>
    <t xml:space="preserve">(+) Depreciation &amp; Amortization</t>
  </si>
  <si>
    <t xml:space="preserve">(+) Stock-Based Compensation</t>
  </si>
  <si>
    <t xml:space="preserve">(+/-) Working Capital Changes</t>
  </si>
  <si>
    <t xml:space="preserve">(+) Other Operating Items</t>
  </si>
  <si>
    <t xml:space="preserve">(-) Capital Expenditures</t>
  </si>
  <si>
    <t xml:space="preserve">Free Cash Flow (Levered)</t>
  </si>
  <si>
    <t xml:space="preserve">FCF Margin (% of Total Rev)</t>
  </si>
  <si>
    <t xml:space="preserve">FCF per Share ($)</t>
  </si>
  <si>
    <t xml:space="preserve">IMPLIED VALUATION — FY2027E</t>
  </si>
  <si>
    <t xml:space="preserve">VALUATION INPUTS</t>
  </si>
  <si>
    <t xml:space="preserve">Current Share Price ($ as of Feb 2026)</t>
  </si>
  <si>
    <t xml:space="preserve">Market Cap ($mm)</t>
  </si>
  <si>
    <t xml:space="preserve">Total Debt ($mm) — FY2025</t>
  </si>
  <si>
    <t xml:space="preserve">Cash &amp; ST Investments ($mm) — FY2025</t>
  </si>
  <si>
    <t xml:space="preserve">Net Debt ($mm)</t>
  </si>
  <si>
    <t xml:space="preserve">Enterprise Value ($mm)</t>
  </si>
  <si>
    <t xml:space="preserve">CURRENT TRAILING MULTIPLES</t>
  </si>
  <si>
    <t xml:space="preserve">Trailing P/E (on FY2025 EPS)</t>
  </si>
  <si>
    <t xml:space="preserve">Trailing EV/EBITDA (on FY2025)</t>
  </si>
  <si>
    <t xml:space="preserve">FY2027E IMPLIED SHARE PRICE</t>
  </si>
  <si>
    <t xml:space="preserve">Bear</t>
  </si>
  <si>
    <t xml:space="preserve">Base</t>
  </si>
  <si>
    <t xml:space="preserve">Bull</t>
  </si>
  <si>
    <t xml:space="preserve">Forward P/E Multiple</t>
  </si>
  <si>
    <t xml:space="preserve">FY2027E EPS (Base Case)</t>
  </si>
  <si>
    <t xml:space="preserve">Implied Price (P/E)</t>
  </si>
  <si>
    <t xml:space="preserve">Upside / (Downside) vs Current</t>
  </si>
  <si>
    <t xml:space="preserve">Forward EV/EBITDA Multiple</t>
  </si>
  <si>
    <t xml:space="preserve">FY2027E EBITDA (Base Case)</t>
  </si>
  <si>
    <t xml:space="preserve">Implied EV</t>
  </si>
  <si>
    <t xml:space="preserve">Implied Equity Value</t>
  </si>
  <si>
    <t xml:space="preserve">Implied Price (EV/EBITDA)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</si>
</sst>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.00"/>
    <numFmt numFmtId="168" formatCode="0"/>
    <numFmt numFmtId="169" formatCode="#,##0.0"/>
    <numFmt numFmtId="170" formatCode="\$#,##0"/>
    <numFmt numFmtId="171" formatCode="\$#,##0.00"/>
    <numFmt numFmtId="172" formatCode="#,##0;\(#,##0\);\-"/>
    <numFmt numFmtId="173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/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15" hidden="false" customHeight="true" outlineLevel="0" collapsed="false">
      <c r="A5" s="6" t="s">
        <v>7</v>
      </c>
      <c r="B5" s="7"/>
      <c r="C5" s="7"/>
      <c r="D5" s="7"/>
      <c r="E5" s="7"/>
    </row>
    <row r="6" customFormat="false" ht="15" hidden="false" customHeight="true" outlineLevel="0" collapsed="false">
      <c r="A6" s="8" t="s">
        <v>8</v>
      </c>
      <c r="B6" s="9" t="n">
        <v>237710</v>
      </c>
      <c r="C6" s="9" t="n">
        <v>249625</v>
      </c>
      <c r="D6" s="9" t="n">
        <v>269912</v>
      </c>
      <c r="E6" s="10" t="n">
        <f aca="false">(D6/B6)^(1/2)-1</f>
        <v>0.0655832142798825</v>
      </c>
    </row>
    <row r="7" customFormat="false" ht="15" hidden="false" customHeight="true" outlineLevel="0" collapsed="false">
      <c r="A7" s="8" t="s">
        <v>9</v>
      </c>
      <c r="B7" s="9" t="n">
        <v>4580</v>
      </c>
      <c r="C7" s="9" t="n">
        <v>4828</v>
      </c>
      <c r="D7" s="9" t="n">
        <v>5323</v>
      </c>
      <c r="E7" s="10" t="n">
        <f aca="false">(D7/B7)^(1/2)-1</f>
        <v>0.0780663589203625</v>
      </c>
    </row>
    <row r="8" customFormat="false" ht="15" hidden="false" customHeight="true" outlineLevel="0" collapsed="false">
      <c r="A8" s="11" t="s">
        <v>10</v>
      </c>
      <c r="B8" s="12" t="n">
        <v>242290</v>
      </c>
      <c r="C8" s="12" t="n">
        <v>254453</v>
      </c>
      <c r="D8" s="12" t="n">
        <v>275235</v>
      </c>
      <c r="E8" s="13" t="n">
        <f aca="false">(D8/B8)^(1/2)-1</f>
        <v>0.0658205384967401</v>
      </c>
    </row>
    <row r="9" customFormat="false" ht="15" hidden="false" customHeight="true" outlineLevel="0" collapsed="false">
      <c r="A9" s="8" t="s">
        <v>11</v>
      </c>
      <c r="B9" s="9" t="n">
        <v>212586</v>
      </c>
      <c r="C9" s="9" t="n">
        <v>222358</v>
      </c>
      <c r="D9" s="9" t="n">
        <v>239886</v>
      </c>
      <c r="E9" s="10" t="n">
        <f aca="false">(D9/B9)^(1/2)-1</f>
        <v>0.0622705006098054</v>
      </c>
    </row>
    <row r="10" customFormat="false" ht="15" hidden="false" customHeight="true" outlineLevel="0" collapsed="false">
      <c r="A10" s="11" t="s">
        <v>12</v>
      </c>
      <c r="B10" s="12" t="n">
        <v>29704</v>
      </c>
      <c r="C10" s="12" t="n">
        <v>32095</v>
      </c>
      <c r="D10" s="12" t="n">
        <v>35349</v>
      </c>
      <c r="E10" s="13" t="n">
        <f aca="false">(D10/B10)^(1/2)-1</f>
        <v>0.0908903451857566</v>
      </c>
    </row>
    <row r="11" customFormat="false" ht="15" hidden="false" customHeight="true" outlineLevel="0" collapsed="false">
      <c r="A11" s="8" t="s">
        <v>13</v>
      </c>
      <c r="B11" s="9" t="n">
        <v>21590</v>
      </c>
      <c r="C11" s="9" t="n">
        <v>22810</v>
      </c>
      <c r="D11" s="9" t="n">
        <v>24966</v>
      </c>
      <c r="E11" s="10" t="n">
        <f aca="false">(D11/B11)^(1/2)-1</f>
        <v>0.0753458463247845</v>
      </c>
    </row>
    <row r="12" customFormat="false" ht="15" hidden="false" customHeight="true" outlineLevel="0" collapsed="false">
      <c r="A12" s="11" t="s">
        <v>14</v>
      </c>
      <c r="B12" s="12" t="n">
        <v>8114</v>
      </c>
      <c r="C12" s="12" t="n">
        <v>9285</v>
      </c>
      <c r="D12" s="12" t="n">
        <v>10383</v>
      </c>
      <c r="E12" s="13" t="n">
        <f aca="false">(D12/B12)^(1/2)-1</f>
        <v>0.131211796337683</v>
      </c>
    </row>
    <row r="13" customFormat="false" ht="15" hidden="false" customHeight="true" outlineLevel="0" collapsed="false">
      <c r="A13" s="14" t="s">
        <v>15</v>
      </c>
      <c r="B13" s="15" t="n">
        <v>6292</v>
      </c>
      <c r="C13" s="15" t="n">
        <v>7367</v>
      </c>
      <c r="D13" s="15" t="n">
        <v>8099</v>
      </c>
      <c r="E13" s="16" t="n">
        <f aca="false">(D13/B13)^(1/2)-1</f>
        <v>0.134543997668062</v>
      </c>
    </row>
    <row r="14" customFormat="false" ht="15" hidden="false" customHeight="true" outlineLevel="0" collapsed="false">
      <c r="A14" s="8" t="s">
        <v>16</v>
      </c>
      <c r="B14" s="17" t="n">
        <v>14.16</v>
      </c>
      <c r="C14" s="17" t="n">
        <v>16.56</v>
      </c>
      <c r="D14" s="17" t="n">
        <v>18.21</v>
      </c>
      <c r="E14" s="10" t="n">
        <f aca="false">(D14/B14)^(1/2)-1</f>
        <v>0.134026873205632</v>
      </c>
    </row>
    <row r="16" customFormat="false" ht="15" hidden="false" customHeight="true" outlineLevel="0" collapsed="false">
      <c r="A16" s="6" t="s">
        <v>17</v>
      </c>
      <c r="B16" s="7"/>
      <c r="C16" s="7"/>
      <c r="D16" s="7"/>
      <c r="E16" s="7"/>
    </row>
    <row r="17" customFormat="false" ht="15" hidden="false" customHeight="true" outlineLevel="0" collapsed="false">
      <c r="A17" s="8" t="s">
        <v>18</v>
      </c>
      <c r="B17" s="10" t="n">
        <v>0.1057</v>
      </c>
      <c r="C17" s="10" t="n">
        <v>0.1092</v>
      </c>
      <c r="D17" s="10" t="n">
        <v>0.1112</v>
      </c>
    </row>
    <row r="18" customFormat="false" ht="15" hidden="false" customHeight="true" outlineLevel="0" collapsed="false">
      <c r="A18" s="8" t="s">
        <v>19</v>
      </c>
      <c r="B18" s="10" t="n">
        <v>0.1226</v>
      </c>
      <c r="C18" s="10" t="n">
        <v>0.1261</v>
      </c>
      <c r="D18" s="10" t="n">
        <v>0.1285</v>
      </c>
    </row>
    <row r="19" customFormat="false" ht="15" hidden="false" customHeight="true" outlineLevel="0" collapsed="false">
      <c r="A19" s="8" t="s">
        <v>20</v>
      </c>
      <c r="B19" s="10" t="n">
        <v>0.0908</v>
      </c>
      <c r="C19" s="10" t="n">
        <v>0.0914</v>
      </c>
      <c r="D19" s="10" t="n">
        <v>0.0925</v>
      </c>
    </row>
    <row r="20" customFormat="false" ht="15" hidden="false" customHeight="true" outlineLevel="0" collapsed="false">
      <c r="A20" s="8" t="s">
        <v>21</v>
      </c>
      <c r="B20" s="10" t="n">
        <v>0.0335</v>
      </c>
      <c r="C20" s="10" t="n">
        <v>0.0365</v>
      </c>
      <c r="D20" s="10" t="n">
        <v>0.0377</v>
      </c>
    </row>
    <row r="21" customFormat="false" ht="15" hidden="false" customHeight="true" outlineLevel="0" collapsed="false">
      <c r="A21" s="8" t="s">
        <v>22</v>
      </c>
      <c r="B21" s="10" t="n">
        <v>0.026</v>
      </c>
      <c r="C21" s="10" t="n">
        <v>0.029</v>
      </c>
      <c r="D21" s="10" t="n">
        <v>0.0294</v>
      </c>
    </row>
    <row r="22" customFormat="false" ht="15" hidden="false" customHeight="true" outlineLevel="0" collapsed="false">
      <c r="A22" s="8" t="s">
        <v>23</v>
      </c>
      <c r="B22" s="10" t="n">
        <v>0.259</v>
      </c>
      <c r="C22" s="10" t="n">
        <v>0.244</v>
      </c>
      <c r="D22" s="10" t="n">
        <v>0.251</v>
      </c>
    </row>
    <row r="24" customFormat="false" ht="15" hidden="false" customHeight="true" outlineLevel="0" collapsed="false">
      <c r="A24" s="6" t="s">
        <v>24</v>
      </c>
      <c r="B24" s="7"/>
      <c r="C24" s="7"/>
      <c r="D24" s="7"/>
      <c r="E24" s="7"/>
    </row>
    <row r="25" customFormat="false" ht="15" hidden="false" customHeight="true" outlineLevel="0" collapsed="false">
      <c r="A25" s="8" t="s">
        <v>25</v>
      </c>
      <c r="B25" s="9" t="n">
        <v>11068</v>
      </c>
      <c r="C25" s="9" t="n">
        <v>11339</v>
      </c>
      <c r="D25" s="9" t="n">
        <v>13335</v>
      </c>
      <c r="E25" s="10" t="n">
        <f aca="false">(D25/B25)^(1/2)-1</f>
        <v>0.0976450792096977</v>
      </c>
    </row>
    <row r="26" customFormat="false" ht="15" hidden="false" customHeight="true" outlineLevel="0" collapsed="false">
      <c r="A26" s="8" t="s">
        <v>26</v>
      </c>
      <c r="B26" s="9" t="n">
        <v>4323</v>
      </c>
      <c r="C26" s="9" t="n">
        <v>4710</v>
      </c>
      <c r="D26" s="9" t="n">
        <v>5498</v>
      </c>
      <c r="E26" s="10" t="n">
        <f aca="false">(D26/B26)^(1/2)-1</f>
        <v>0.127741987051667</v>
      </c>
    </row>
    <row r="27" customFormat="false" ht="15" hidden="false" customHeight="true" outlineLevel="0" collapsed="false">
      <c r="A27" s="14" t="s">
        <v>27</v>
      </c>
      <c r="B27" s="15" t="n">
        <v>6745</v>
      </c>
      <c r="C27" s="15" t="n">
        <v>6629</v>
      </c>
      <c r="D27" s="15" t="n">
        <v>7837</v>
      </c>
      <c r="E27" s="16" t="n">
        <f aca="false">(D27/B27)^(1/2)-1</f>
        <v>0.0779135874463606</v>
      </c>
    </row>
    <row r="28" customFormat="false" ht="15" hidden="false" customHeight="true" outlineLevel="0" collapsed="false">
      <c r="A28" s="8" t="s">
        <v>28</v>
      </c>
      <c r="B28" s="9" t="n">
        <v>2489</v>
      </c>
      <c r="C28" s="9" t="n">
        <v>2237</v>
      </c>
      <c r="D28" s="9" t="n">
        <v>2426</v>
      </c>
      <c r="E28" s="10" t="n">
        <f aca="false">(D28/B28)^(1/2)-1</f>
        <v>-0.01273679802604</v>
      </c>
    </row>
    <row r="29" customFormat="false" ht="15" hidden="false" customHeight="true" outlineLevel="0" collapsed="false">
      <c r="A29" s="8" t="s">
        <v>29</v>
      </c>
      <c r="B29" s="9" t="n">
        <v>10603</v>
      </c>
      <c r="C29" s="9" t="n">
        <v>11522</v>
      </c>
      <c r="D29" s="9" t="n">
        <v>12809</v>
      </c>
      <c r="E29" s="10" t="n">
        <f aca="false">(D29/B29)^(1/2)-1</f>
        <v>0.0991152461174645</v>
      </c>
    </row>
    <row r="31" customFormat="false" ht="15" hidden="false" customHeight="true" outlineLevel="0" collapsed="false">
      <c r="A31" s="6" t="s">
        <v>30</v>
      </c>
      <c r="B31" s="7"/>
      <c r="C31" s="7"/>
      <c r="D31" s="7"/>
      <c r="E31" s="7"/>
    </row>
    <row r="32" customFormat="false" ht="15" hidden="false" customHeight="true" outlineLevel="0" collapsed="false">
      <c r="A32" s="8" t="s">
        <v>31</v>
      </c>
      <c r="B32" s="9" t="n">
        <v>861</v>
      </c>
      <c r="C32" s="9" t="n">
        <v>890</v>
      </c>
      <c r="D32" s="9" t="n">
        <v>914</v>
      </c>
      <c r="E32" s="10" t="n">
        <f aca="false">(D32/B32)^(1/2)-1</f>
        <v>0.030318557461241</v>
      </c>
    </row>
    <row r="33" customFormat="false" ht="15" hidden="false" customHeight="true" outlineLevel="0" collapsed="false">
      <c r="A33" s="8" t="s">
        <v>32</v>
      </c>
      <c r="B33" s="18" t="n">
        <v>23</v>
      </c>
      <c r="C33" s="18" t="n">
        <v>29</v>
      </c>
      <c r="D33" s="18" t="n">
        <v>24</v>
      </c>
      <c r="E33" s="10" t="n">
        <f aca="false">(D33/B33)^(1/2)-1</f>
        <v>0.0215078369104984</v>
      </c>
    </row>
    <row r="34" customFormat="false" ht="15" hidden="false" customHeight="true" outlineLevel="0" collapsed="false">
      <c r="A34" s="8" t="s">
        <v>33</v>
      </c>
      <c r="B34" s="19" t="n">
        <v>71</v>
      </c>
      <c r="C34" s="19" t="n">
        <v>76.2</v>
      </c>
      <c r="D34" s="19" t="n">
        <v>81</v>
      </c>
      <c r="E34" s="10" t="n">
        <f aca="false">(D34/B34)^(1/2)-1</f>
        <v>0.0681034923744681</v>
      </c>
    </row>
    <row r="35" customFormat="false" ht="15" hidden="false" customHeight="true" outlineLevel="0" collapsed="false">
      <c r="A35" s="8" t="s">
        <v>34</v>
      </c>
      <c r="B35" s="19" t="n">
        <v>32.3</v>
      </c>
      <c r="C35" s="19" t="n">
        <v>35.4</v>
      </c>
      <c r="D35" s="19" t="n">
        <v>38.7</v>
      </c>
      <c r="E35" s="10" t="n">
        <f aca="false">(D35/B35)^(1/2)-1</f>
        <v>0.0945969188978568</v>
      </c>
    </row>
    <row r="36" customFormat="false" ht="15" hidden="false" customHeight="true" outlineLevel="0" collapsed="false">
      <c r="A36" s="8" t="s">
        <v>35</v>
      </c>
      <c r="B36" s="19" t="n">
        <v>127.9</v>
      </c>
      <c r="C36" s="19" t="n">
        <v>136.8</v>
      </c>
      <c r="D36" s="19" t="n">
        <v>145.2</v>
      </c>
      <c r="E36" s="10" t="n">
        <f aca="false">(D36/B36)^(1/2)-1</f>
        <v>0.0654867072740226</v>
      </c>
    </row>
    <row r="37" customFormat="false" ht="15" hidden="false" customHeight="true" outlineLevel="0" collapsed="false">
      <c r="A37" s="8" t="s">
        <v>36</v>
      </c>
      <c r="B37" s="20" t="n">
        <v>0.904</v>
      </c>
      <c r="C37" s="20" t="n">
        <v>0.905</v>
      </c>
      <c r="D37" s="20" t="n">
        <v>0.898</v>
      </c>
    </row>
    <row r="38" customFormat="false" ht="15" hidden="false" customHeight="true" outlineLevel="0" collapsed="false">
      <c r="A38" s="8" t="s">
        <v>37</v>
      </c>
      <c r="B38" s="20" t="n">
        <v>0.718</v>
      </c>
      <c r="C38" s="20" t="n">
        <v>0.731</v>
      </c>
      <c r="D38" s="20" t="n">
        <v>0.736</v>
      </c>
    </row>
    <row r="39" customFormat="false" ht="15" hidden="false" customHeight="true" outlineLevel="0" collapsed="false">
      <c r="A39" s="8" t="s">
        <v>38</v>
      </c>
      <c r="B39" s="19" t="n">
        <v>279.8</v>
      </c>
      <c r="C39" s="19" t="n">
        <v>285.1</v>
      </c>
      <c r="D39" s="19" t="n">
        <v>299.2</v>
      </c>
      <c r="E39" s="10" t="n">
        <f aca="false">(D39/B39)^(1/2)-1</f>
        <v>0.0340866692191495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4"/>
    <col collapsed="false" customWidth="true" hidden="false" outlineLevel="0" max="7" min="7" style="1" width="3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39</v>
      </c>
    </row>
    <row r="3" customFormat="false" ht="15" hidden="false" customHeight="true" outlineLevel="0" collapsed="false">
      <c r="A3" s="4" t="s">
        <v>40</v>
      </c>
    </row>
    <row r="4" customFormat="false" ht="15" hidden="false" customHeight="true" outlineLevel="0" collapsed="false">
      <c r="A4" s="5"/>
      <c r="B4" s="5" t="s">
        <v>3</v>
      </c>
      <c r="C4" s="5" t="s">
        <v>4</v>
      </c>
      <c r="D4" s="5" t="s">
        <v>5</v>
      </c>
      <c r="E4" s="5" t="s">
        <v>41</v>
      </c>
      <c r="F4" s="5" t="s">
        <v>42</v>
      </c>
      <c r="G4" s="5" t="s">
        <v>43</v>
      </c>
    </row>
    <row r="5" customFormat="false" ht="15" hidden="false" customHeight="true" outlineLevel="0" collapsed="false">
      <c r="A5" s="6" t="s">
        <v>44</v>
      </c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8" t="s">
        <v>45</v>
      </c>
      <c r="B6" s="9" t="n">
        <v>838</v>
      </c>
      <c r="C6" s="9" t="n">
        <v>861</v>
      </c>
      <c r="D6" s="9" t="n">
        <v>890</v>
      </c>
      <c r="E6" s="21" t="n">
        <f aca="false">Assumptions!D6</f>
        <v>914</v>
      </c>
      <c r="F6" s="21" t="n">
        <f aca="false">Assumptions!E6</f>
        <v>944</v>
      </c>
      <c r="G6" s="4" t="s">
        <v>46</v>
      </c>
    </row>
    <row r="7" customFormat="false" ht="15" hidden="false" customHeight="true" outlineLevel="0" collapsed="false">
      <c r="A7" s="8" t="s">
        <v>47</v>
      </c>
      <c r="B7" s="9" t="n">
        <v>26</v>
      </c>
      <c r="C7" s="9" t="n">
        <v>30</v>
      </c>
      <c r="D7" s="9" t="n">
        <v>27</v>
      </c>
    </row>
    <row r="8" customFormat="false" ht="15" hidden="false" customHeight="true" outlineLevel="0" collapsed="false">
      <c r="A8" s="8" t="s">
        <v>32</v>
      </c>
      <c r="B8" s="9" t="n">
        <v>23</v>
      </c>
      <c r="C8" s="9" t="n">
        <v>29</v>
      </c>
      <c r="D8" s="9" t="n">
        <v>24</v>
      </c>
      <c r="E8" s="21" t="n">
        <f aca="false">Assumptions!E7</f>
        <v>30</v>
      </c>
      <c r="F8" s="21" t="n">
        <f aca="false">Assumptions!F7</f>
        <v>28</v>
      </c>
      <c r="G8" s="4" t="s">
        <v>48</v>
      </c>
    </row>
    <row r="9" customFormat="false" ht="15" hidden="false" customHeight="true" outlineLevel="0" collapsed="false">
      <c r="A9" s="22" t="s">
        <v>49</v>
      </c>
      <c r="B9" s="9" t="n">
        <v>861</v>
      </c>
      <c r="C9" s="9" t="n">
        <v>890</v>
      </c>
      <c r="D9" s="9" t="n">
        <v>914</v>
      </c>
      <c r="E9" s="21" t="n">
        <f aca="false">Assumptions!E6</f>
        <v>944</v>
      </c>
      <c r="F9" s="21" t="n">
        <f aca="false">Assumptions!F6</f>
        <v>972</v>
      </c>
    </row>
    <row r="10" customFormat="false" ht="15" hidden="false" customHeight="true" outlineLevel="0" collapsed="false">
      <c r="A10" s="8" t="s">
        <v>50</v>
      </c>
      <c r="B10" s="19" t="n">
        <v>849.5</v>
      </c>
      <c r="C10" s="19" t="n">
        <v>875.5</v>
      </c>
      <c r="D10" s="19" t="n">
        <v>902</v>
      </c>
      <c r="E10" s="23" t="n">
        <f aca="false">(D9+E9)/2</f>
        <v>929</v>
      </c>
      <c r="F10" s="23" t="n">
        <f aca="false">(E9+F9)/2</f>
        <v>958</v>
      </c>
    </row>
    <row r="11" customFormat="false" ht="15" hidden="false" customHeight="true" outlineLevel="0" collapsed="false">
      <c r="A11" s="22" t="s">
        <v>51</v>
      </c>
      <c r="B11" s="9" t="n">
        <v>237710</v>
      </c>
      <c r="C11" s="9" t="n">
        <v>249625</v>
      </c>
      <c r="D11" s="9" t="n">
        <v>269912</v>
      </c>
      <c r="E11" s="21" t="n">
        <f aca="false">'Income Statement'!E6</f>
        <v>291504.96</v>
      </c>
      <c r="F11" s="21" t="n">
        <f aca="false">'Income Statement'!F6</f>
        <v>311910.3072</v>
      </c>
    </row>
    <row r="12" customFormat="false" ht="15" hidden="false" customHeight="true" outlineLevel="0" collapsed="false">
      <c r="A12" s="22" t="s">
        <v>52</v>
      </c>
      <c r="B12" s="24" t="n">
        <f aca="false">B11/B10</f>
        <v>279.823425544438</v>
      </c>
      <c r="C12" s="24" t="n">
        <f aca="false">C11/C10</f>
        <v>285.122786978869</v>
      </c>
      <c r="D12" s="24" t="n">
        <f aca="false">D11/D10</f>
        <v>299.237250554324</v>
      </c>
      <c r="E12" s="24" t="n">
        <f aca="false">E11/E10</f>
        <v>313.783595263724</v>
      </c>
      <c r="F12" s="24" t="n">
        <f aca="false">F11/F10</f>
        <v>325.584871816284</v>
      </c>
      <c r="G12" s="4" t="s">
        <v>53</v>
      </c>
    </row>
    <row r="13" customFormat="false" ht="15" hidden="false" customHeight="true" outlineLevel="0" collapsed="false">
      <c r="A13" s="8" t="s">
        <v>54</v>
      </c>
      <c r="C13" s="10" t="n">
        <f aca="false">(C12-B12)/B12</f>
        <v>0.0189382337240731</v>
      </c>
      <c r="D13" s="10" t="n">
        <f aca="false">(D12-C12)/C12</f>
        <v>0.0495031061003923</v>
      </c>
      <c r="E13" s="10" t="n">
        <f aca="false">(E12-D12)/D12</f>
        <v>0.0486114101184069</v>
      </c>
      <c r="F13" s="10" t="n">
        <f aca="false">(F12-E12)/E12</f>
        <v>0.0376096033402923</v>
      </c>
    </row>
    <row r="15" customFormat="false" ht="15" hidden="false" customHeight="true" outlineLevel="0" collapsed="false">
      <c r="A15" s="6" t="s">
        <v>55</v>
      </c>
      <c r="B15" s="7"/>
      <c r="C15" s="7"/>
      <c r="D15" s="7"/>
      <c r="E15" s="7"/>
      <c r="F15" s="7"/>
      <c r="G15" s="7"/>
    </row>
    <row r="16" customFormat="false" ht="15" hidden="false" customHeight="true" outlineLevel="0" collapsed="false">
      <c r="A16" s="8" t="s">
        <v>56</v>
      </c>
      <c r="B16" s="19" t="n">
        <v>58.8</v>
      </c>
      <c r="C16" s="19" t="n">
        <v>63.7</v>
      </c>
      <c r="D16" s="19" t="n">
        <v>68.3</v>
      </c>
      <c r="E16" s="23" t="n">
        <f aca="false">Assumptions!E15</f>
        <v>72.8</v>
      </c>
      <c r="F16" s="23" t="n">
        <f aca="false">Assumptions!F15</f>
        <v>77</v>
      </c>
      <c r="G16" s="4" t="s">
        <v>57</v>
      </c>
    </row>
    <row r="17" customFormat="false" ht="15" hidden="false" customHeight="true" outlineLevel="0" collapsed="false">
      <c r="A17" s="8" t="s">
        <v>58</v>
      </c>
      <c r="B17" s="19" t="n">
        <v>12.2</v>
      </c>
      <c r="C17" s="19" t="n">
        <v>12.5</v>
      </c>
      <c r="D17" s="19" t="n">
        <v>12.7</v>
      </c>
      <c r="E17" s="23" t="n">
        <f aca="false">Assumptions!E16</f>
        <v>13.1</v>
      </c>
      <c r="F17" s="23" t="n">
        <f aca="false">Assumptions!F16</f>
        <v>13.4</v>
      </c>
    </row>
    <row r="18" customFormat="false" ht="15" hidden="false" customHeight="true" outlineLevel="0" collapsed="false">
      <c r="A18" s="22" t="s">
        <v>33</v>
      </c>
      <c r="B18" s="19" t="n">
        <v>71</v>
      </c>
      <c r="C18" s="19" t="n">
        <v>76.2</v>
      </c>
      <c r="D18" s="19" t="n">
        <v>81</v>
      </c>
      <c r="E18" s="23" t="n">
        <f aca="false">Assumptions!E13</f>
        <v>85.86</v>
      </c>
      <c r="F18" s="23" t="n">
        <f aca="false">Assumptions!F13</f>
        <v>90.5823</v>
      </c>
    </row>
    <row r="19" customFormat="false" ht="15" hidden="false" customHeight="true" outlineLevel="0" collapsed="false">
      <c r="A19" s="8" t="s">
        <v>34</v>
      </c>
      <c r="B19" s="19" t="n">
        <v>32.3</v>
      </c>
      <c r="C19" s="19" t="n">
        <v>35.4</v>
      </c>
      <c r="D19" s="19" t="n">
        <v>38.7</v>
      </c>
      <c r="E19" s="23" t="n">
        <f aca="false">Assumptions!E17</f>
        <v>41.8</v>
      </c>
      <c r="F19" s="23" t="n">
        <f aca="false">Assumptions!F17</f>
        <v>44.5</v>
      </c>
    </row>
    <row r="20" customFormat="false" ht="15" hidden="false" customHeight="true" outlineLevel="0" collapsed="false">
      <c r="A20" s="8" t="s">
        <v>35</v>
      </c>
      <c r="B20" s="19" t="n">
        <v>127.9</v>
      </c>
      <c r="C20" s="19" t="n">
        <v>136.8</v>
      </c>
      <c r="D20" s="19" t="n">
        <v>145.2</v>
      </c>
      <c r="E20" s="23" t="n">
        <f aca="false">Assumptions!E18</f>
        <v>153.5</v>
      </c>
      <c r="F20" s="23" t="n">
        <f aca="false">Assumptions!F18</f>
        <v>161</v>
      </c>
    </row>
    <row r="21" customFormat="false" ht="15" hidden="false" customHeight="true" outlineLevel="0" collapsed="false">
      <c r="A21" s="8" t="s">
        <v>59</v>
      </c>
      <c r="B21" s="20" t="n">
        <v>0.904</v>
      </c>
      <c r="C21" s="20" t="n">
        <v>0.905</v>
      </c>
      <c r="D21" s="20" t="n">
        <v>0.898</v>
      </c>
      <c r="E21" s="10" t="n">
        <f aca="false">Assumptions!E20</f>
        <v>0.899</v>
      </c>
      <c r="F21" s="10" t="n">
        <f aca="false">Assumptions!F20</f>
        <v>0.9</v>
      </c>
    </row>
    <row r="22" customFormat="false" ht="15" hidden="false" customHeight="true" outlineLevel="0" collapsed="false">
      <c r="A22" s="8" t="s">
        <v>60</v>
      </c>
      <c r="B22" s="25" t="n">
        <f aca="false">Assumptions!B19</f>
        <v>60</v>
      </c>
      <c r="C22" s="25" t="n">
        <f aca="false">Assumptions!C19</f>
        <v>60</v>
      </c>
      <c r="D22" s="25" t="n">
        <f aca="false">Assumptions!D19</f>
        <v>65</v>
      </c>
      <c r="E22" s="25" t="n">
        <f aca="false">Assumptions!E19</f>
        <v>65</v>
      </c>
      <c r="F22" s="25" t="n">
        <f aca="false">Assumptions!F19</f>
        <v>65</v>
      </c>
      <c r="G22" s="4" t="s">
        <v>61</v>
      </c>
    </row>
    <row r="23" customFormat="false" ht="15" hidden="false" customHeight="true" outlineLevel="0" collapsed="false">
      <c r="A23" s="22" t="s">
        <v>62</v>
      </c>
      <c r="B23" s="9" t="n">
        <v>4580</v>
      </c>
      <c r="C23" s="9" t="n">
        <v>4828</v>
      </c>
      <c r="D23" s="9" t="n">
        <v>5323</v>
      </c>
      <c r="E23" s="21" t="n">
        <f aca="false">'Income Statement'!E7</f>
        <v>5695.61</v>
      </c>
      <c r="F23" s="21" t="n">
        <f aca="false">'Income Statement'!F7</f>
        <v>6037.3466</v>
      </c>
    </row>
    <row r="24" customFormat="false" ht="15" hidden="false" customHeight="true" outlineLevel="0" collapsed="false">
      <c r="A24" s="8" t="s">
        <v>63</v>
      </c>
      <c r="B24" s="26" t="n">
        <f aca="false">B23/B18</f>
        <v>64.5070422535211</v>
      </c>
      <c r="C24" s="26" t="n">
        <f aca="false">C23/C18</f>
        <v>63.3595800524934</v>
      </c>
      <c r="D24" s="26" t="n">
        <f aca="false">D23/D18</f>
        <v>65.7160493827161</v>
      </c>
      <c r="E24" s="26" t="n">
        <f aca="false">E23/E18</f>
        <v>66.3360121127417</v>
      </c>
      <c r="F24" s="26" t="n">
        <f aca="false">F23/F18</f>
        <v>66.6504007957405</v>
      </c>
      <c r="G24" s="4" t="s">
        <v>64</v>
      </c>
    </row>
    <row r="25" customFormat="false" ht="15" hidden="false" customHeight="true" outlineLevel="0" collapsed="false">
      <c r="A25" s="8" t="s">
        <v>65</v>
      </c>
      <c r="B25" s="10" t="n">
        <f aca="false">B19/B18</f>
        <v>0.454929577464789</v>
      </c>
      <c r="C25" s="10" t="n">
        <f aca="false">C19/C18</f>
        <v>0.464566929133858</v>
      </c>
      <c r="D25" s="10" t="n">
        <f aca="false">D19/D18</f>
        <v>0.477777777777778</v>
      </c>
      <c r="E25" s="10" t="n">
        <f aca="false">E19/E18</f>
        <v>0.48683904029816</v>
      </c>
      <c r="F25" s="10" t="n">
        <f aca="false">F19/F18</f>
        <v>0.491265953723851</v>
      </c>
    </row>
    <row r="27" customFormat="false" ht="15" hidden="false" customHeight="true" outlineLevel="0" collapsed="false">
      <c r="A27" s="6" t="s">
        <v>66</v>
      </c>
      <c r="B27" s="7"/>
      <c r="C27" s="7"/>
      <c r="D27" s="7"/>
      <c r="E27" s="7"/>
      <c r="F27" s="7"/>
      <c r="G27" s="7"/>
    </row>
    <row r="28" customFormat="false" ht="15" hidden="false" customHeight="true" outlineLevel="0" collapsed="false">
      <c r="A28" s="8" t="s">
        <v>18</v>
      </c>
      <c r="B28" s="10" t="n">
        <f aca="false">Assumptions!B26</f>
        <v>0.1057</v>
      </c>
      <c r="C28" s="10" t="n">
        <f aca="false">Assumptions!C26</f>
        <v>0.1092</v>
      </c>
      <c r="D28" s="10" t="n">
        <f aca="false">Assumptions!D26</f>
        <v>0.1112</v>
      </c>
      <c r="E28" s="10" t="n">
        <f aca="false">Assumptions!E26</f>
        <v>0.112</v>
      </c>
      <c r="F28" s="10" t="n">
        <f aca="false">Assumptions!F26</f>
        <v>0.1125</v>
      </c>
      <c r="G28" s="4" t="s">
        <v>67</v>
      </c>
    </row>
    <row r="29" customFormat="false" ht="15" hidden="false" customHeight="true" outlineLevel="0" collapsed="false">
      <c r="A29" s="8" t="s">
        <v>20</v>
      </c>
      <c r="B29" s="10" t="n">
        <f aca="false">Assumptions!B27</f>
        <v>0.0908</v>
      </c>
      <c r="C29" s="10" t="n">
        <f aca="false">Assumptions!C27</f>
        <v>0.0914</v>
      </c>
      <c r="D29" s="10" t="n">
        <f aca="false">Assumptions!D27</f>
        <v>0.0925</v>
      </c>
      <c r="E29" s="10" t="n">
        <f aca="false">Assumptions!E27</f>
        <v>0.0928</v>
      </c>
      <c r="F29" s="10" t="n">
        <f aca="false">Assumptions!F27</f>
        <v>0.093</v>
      </c>
    </row>
    <row r="30" customFormat="false" ht="15" hidden="false" customHeight="true" outlineLevel="0" collapsed="false">
      <c r="A30" s="22" t="s">
        <v>21</v>
      </c>
      <c r="B30" s="10" t="n">
        <f aca="false">'Income Statement'!B29</f>
        <v>0.03348879441991</v>
      </c>
      <c r="C30" s="10" t="n">
        <f aca="false">'Income Statement'!C29</f>
        <v>0.0364900394178886</v>
      </c>
      <c r="D30" s="10" t="n">
        <f aca="false">'Income Statement'!D29</f>
        <v>0.0377241266554036</v>
      </c>
      <c r="E30" s="10" t="n">
        <f aca="false">'Income Statement'!E29</f>
        <v>0.0379962435199905</v>
      </c>
      <c r="F30" s="10" t="n">
        <f aca="false">'Income Statement'!F29</f>
        <v>0.0381182167742104</v>
      </c>
      <c r="G30" s="4" t="s">
        <v>68</v>
      </c>
    </row>
    <row r="32" customFormat="false" ht="15" hidden="false" customHeight="true" outlineLevel="0" collapsed="false">
      <c r="A32" s="6" t="s">
        <v>69</v>
      </c>
      <c r="B32" s="7"/>
      <c r="C32" s="7"/>
      <c r="D32" s="7"/>
      <c r="E32" s="7"/>
      <c r="F32" s="7"/>
      <c r="G32" s="7"/>
    </row>
    <row r="33" customFormat="false" ht="15" hidden="false" customHeight="true" outlineLevel="0" collapsed="false">
      <c r="A33" s="22" t="s">
        <v>70</v>
      </c>
      <c r="B33" s="27" t="n">
        <v>252</v>
      </c>
      <c r="C33" s="27" t="n">
        <v>260</v>
      </c>
      <c r="D33" s="27" t="n">
        <v>272</v>
      </c>
      <c r="G33" s="4" t="s">
        <v>71</v>
      </c>
    </row>
    <row r="34" customFormat="false" ht="15" hidden="false" customHeight="true" outlineLevel="0" collapsed="false">
      <c r="A34" s="8" t="s">
        <v>72</v>
      </c>
      <c r="B34" s="27" t="n">
        <v>263</v>
      </c>
      <c r="C34" s="27" t="n">
        <v>274</v>
      </c>
      <c r="D34" s="27" t="n">
        <v>287</v>
      </c>
      <c r="G34" s="4" t="s">
        <v>73</v>
      </c>
    </row>
    <row r="35" customFormat="false" ht="15" hidden="false" customHeight="true" outlineLevel="0" collapsed="false">
      <c r="A35" s="8" t="s">
        <v>74</v>
      </c>
      <c r="B35" s="27" t="n">
        <v>151</v>
      </c>
      <c r="C35" s="27" t="n">
        <v>166</v>
      </c>
      <c r="D35" s="27" t="n">
        <v>186</v>
      </c>
      <c r="G35" s="4" t="s">
        <v>75</v>
      </c>
    </row>
    <row r="36" customFormat="false" ht="15" hidden="false" customHeight="true" outlineLevel="0" collapsed="false">
      <c r="A36" s="8" t="s">
        <v>76</v>
      </c>
      <c r="B36" s="10" t="n">
        <f aca="false">B35/B34</f>
        <v>0.574144486692015</v>
      </c>
      <c r="C36" s="10" t="n">
        <f aca="false">C35/C34</f>
        <v>0.605839416058394</v>
      </c>
      <c r="D36" s="10" t="n">
        <f aca="false">D35/D34</f>
        <v>0.64808362369338</v>
      </c>
      <c r="G36" s="4" t="s">
        <v>77</v>
      </c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8"/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8"/>
      <c r="G39" s="28"/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8"/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8"/>
      <c r="G41" s="28"/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8"/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8"/>
      <c r="G43" s="28"/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8"/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8"/>
      <c r="G45" s="28"/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8"/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8"/>
      <c r="G47" s="28"/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8"/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8"/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8"/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8"/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8"/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8"/>
    </row>
    <row r="55" customFormat="false" ht="15" hidden="false" customHeight="true" outlineLevel="0" collapsed="false">
      <c r="A55" s="28"/>
      <c r="B55" s="28"/>
      <c r="C55" s="28"/>
      <c r="D55" s="28"/>
      <c r="E55" s="28"/>
      <c r="F55" s="28"/>
      <c r="G55" s="28"/>
    </row>
    <row r="56" customFormat="false" ht="15" hidden="false" customHeight="true" outlineLevel="0" collapsed="false">
      <c r="A56" s="28"/>
      <c r="B56" s="28"/>
      <c r="C56" s="28"/>
      <c r="D56" s="28"/>
      <c r="E56" s="28"/>
      <c r="F56" s="28"/>
      <c r="G56" s="28"/>
    </row>
    <row r="57" customFormat="false" ht="15" hidden="false" customHeight="true" outlineLevel="0" collapsed="false">
      <c r="A57" s="28"/>
      <c r="B57" s="28"/>
      <c r="C57" s="28"/>
      <c r="D57" s="28"/>
      <c r="E57" s="28"/>
      <c r="F57" s="28"/>
      <c r="G57" s="28"/>
    </row>
    <row r="58" customFormat="false" ht="15" hidden="false" customHeight="true" outlineLevel="0" collapsed="false">
      <c r="A58" s="28"/>
      <c r="B58" s="28"/>
      <c r="C58" s="28"/>
      <c r="D58" s="28"/>
      <c r="E58" s="28"/>
      <c r="F58" s="28"/>
      <c r="G58" s="28"/>
    </row>
    <row r="59" customFormat="false" ht="15" hidden="false" customHeight="true" outlineLevel="0" collapsed="false">
      <c r="A59" s="28"/>
      <c r="B59" s="28"/>
      <c r="C59" s="28"/>
      <c r="D59" s="28"/>
      <c r="E59" s="28"/>
      <c r="F59" s="28"/>
      <c r="G5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4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78</v>
      </c>
    </row>
    <row r="3" customFormat="false" ht="15" hidden="false" customHeight="true" outlineLevel="0" collapsed="false">
      <c r="A3" s="4" t="s">
        <v>79</v>
      </c>
    </row>
    <row r="4" customFormat="false" ht="15" hidden="false" customHeight="true" outlineLevel="0" collapsed="false">
      <c r="A4" s="5"/>
      <c r="B4" s="5" t="s">
        <v>3</v>
      </c>
      <c r="C4" s="5" t="s">
        <v>4</v>
      </c>
      <c r="D4" s="5" t="s">
        <v>5</v>
      </c>
      <c r="E4" s="5" t="s">
        <v>41</v>
      </c>
      <c r="F4" s="5" t="s">
        <v>42</v>
      </c>
      <c r="G4" s="5" t="s">
        <v>80</v>
      </c>
    </row>
    <row r="5" customFormat="false" ht="15" hidden="false" customHeight="true" outlineLevel="0" collapsed="false">
      <c r="A5" s="6" t="s">
        <v>81</v>
      </c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8" t="s">
        <v>82</v>
      </c>
      <c r="B6" s="9" t="n">
        <v>861</v>
      </c>
      <c r="C6" s="9" t="n">
        <v>890</v>
      </c>
      <c r="D6" s="9" t="n">
        <v>914</v>
      </c>
      <c r="E6" s="21" t="n">
        <f aca="false">D6+E7</f>
        <v>944</v>
      </c>
      <c r="F6" s="21" t="n">
        <f aca="false">E6+F7</f>
        <v>972</v>
      </c>
      <c r="G6" s="4" t="s">
        <v>83</v>
      </c>
    </row>
    <row r="7" customFormat="false" ht="15" hidden="false" customHeight="true" outlineLevel="0" collapsed="false">
      <c r="A7" s="8" t="s">
        <v>32</v>
      </c>
      <c r="B7" s="29" t="n">
        <v>23</v>
      </c>
      <c r="C7" s="29" t="n">
        <v>29</v>
      </c>
      <c r="D7" s="29" t="n">
        <v>24</v>
      </c>
      <c r="E7" s="30" t="n">
        <v>30</v>
      </c>
      <c r="F7" s="30" t="n">
        <v>28</v>
      </c>
      <c r="G7" s="4" t="s">
        <v>84</v>
      </c>
    </row>
    <row r="8" customFormat="false" ht="15" hidden="false" customHeight="true" outlineLevel="0" collapsed="false">
      <c r="A8" s="8" t="s">
        <v>85</v>
      </c>
      <c r="B8" s="20" t="n">
        <v>0.07</v>
      </c>
      <c r="C8" s="20" t="n">
        <v>0.05</v>
      </c>
      <c r="D8" s="20" t="n">
        <v>0.08</v>
      </c>
      <c r="E8" s="31" t="n">
        <v>0.08</v>
      </c>
      <c r="F8" s="31" t="n">
        <v>0.07</v>
      </c>
      <c r="G8" s="4" t="s">
        <v>86</v>
      </c>
    </row>
    <row r="9" customFormat="false" ht="15" hidden="false" customHeight="true" outlineLevel="0" collapsed="false">
      <c r="A9" s="8" t="s">
        <v>87</v>
      </c>
      <c r="B9" s="20" t="n">
        <v>0.03</v>
      </c>
      <c r="C9" s="20" t="n">
        <v>0.05</v>
      </c>
      <c r="D9" s="20" t="n">
        <v>0.06</v>
      </c>
      <c r="E9" s="31" t="n">
        <v>0.07</v>
      </c>
      <c r="F9" s="31" t="n">
        <v>0.06</v>
      </c>
      <c r="G9" s="4" t="s">
        <v>88</v>
      </c>
    </row>
    <row r="10" customFormat="false" ht="15" hidden="false" customHeight="true" outlineLevel="0" collapsed="false">
      <c r="A10" s="8" t="s">
        <v>89</v>
      </c>
      <c r="B10" s="23" t="n">
        <v>279.8</v>
      </c>
      <c r="C10" s="23" t="n">
        <v>285.1</v>
      </c>
      <c r="D10" s="23" t="n">
        <v>299.2</v>
      </c>
      <c r="E10" s="23" t="n">
        <f aca="false">'Revenue Drivers'!E12</f>
        <v>313.783595263724</v>
      </c>
      <c r="F10" s="23" t="n">
        <f aca="false">'Revenue Drivers'!F12</f>
        <v>325.584871816284</v>
      </c>
      <c r="G10" s="4" t="s">
        <v>90</v>
      </c>
    </row>
    <row r="12" customFormat="false" ht="15" hidden="false" customHeight="true" outlineLevel="0" collapsed="false">
      <c r="A12" s="6" t="s">
        <v>91</v>
      </c>
      <c r="B12" s="7"/>
      <c r="C12" s="7"/>
      <c r="D12" s="7"/>
      <c r="E12" s="7"/>
      <c r="F12" s="7"/>
      <c r="G12" s="7"/>
    </row>
    <row r="13" customFormat="false" ht="15" hidden="false" customHeight="true" outlineLevel="0" collapsed="false">
      <c r="A13" s="8" t="s">
        <v>33</v>
      </c>
      <c r="B13" s="19" t="n">
        <v>71</v>
      </c>
      <c r="C13" s="19" t="n">
        <v>76.2</v>
      </c>
      <c r="D13" s="19" t="n">
        <v>81</v>
      </c>
      <c r="E13" s="23" t="n">
        <f aca="false">D13*(1+E14)</f>
        <v>85.86</v>
      </c>
      <c r="F13" s="23" t="n">
        <f aca="false">E13*(1+F14)</f>
        <v>90.5823</v>
      </c>
      <c r="G13" s="4" t="s">
        <v>92</v>
      </c>
    </row>
    <row r="14" customFormat="false" ht="15" hidden="false" customHeight="true" outlineLevel="0" collapsed="false">
      <c r="A14" s="8" t="s">
        <v>93</v>
      </c>
      <c r="B14" s="10"/>
      <c r="C14" s="10" t="n">
        <f aca="false">(C13-B13)/B13</f>
        <v>0.0732394366197184</v>
      </c>
      <c r="D14" s="10" t="n">
        <f aca="false">(D13-C13)/C13</f>
        <v>0.0629921259842519</v>
      </c>
      <c r="E14" s="31" t="n">
        <v>0.06</v>
      </c>
      <c r="F14" s="31" t="n">
        <v>0.055</v>
      </c>
    </row>
    <row r="15" customFormat="false" ht="15" hidden="false" customHeight="true" outlineLevel="0" collapsed="false">
      <c r="A15" s="8" t="s">
        <v>56</v>
      </c>
      <c r="B15" s="19" t="n">
        <v>58.8</v>
      </c>
      <c r="C15" s="19" t="n">
        <v>63.7</v>
      </c>
      <c r="D15" s="19" t="n">
        <v>68.3</v>
      </c>
      <c r="E15" s="32" t="n">
        <v>72.8</v>
      </c>
      <c r="F15" s="32" t="n">
        <v>77</v>
      </c>
      <c r="G15" s="4" t="s">
        <v>57</v>
      </c>
    </row>
    <row r="16" customFormat="false" ht="15" hidden="false" customHeight="true" outlineLevel="0" collapsed="false">
      <c r="A16" s="8" t="s">
        <v>58</v>
      </c>
      <c r="B16" s="19" t="n">
        <v>12.2</v>
      </c>
      <c r="C16" s="19" t="n">
        <v>12.5</v>
      </c>
      <c r="D16" s="19" t="n">
        <v>12.7</v>
      </c>
      <c r="E16" s="32" t="n">
        <v>13.1</v>
      </c>
      <c r="F16" s="32" t="n">
        <v>13.4</v>
      </c>
    </row>
    <row r="17" customFormat="false" ht="15" hidden="false" customHeight="true" outlineLevel="0" collapsed="false">
      <c r="A17" s="8" t="s">
        <v>34</v>
      </c>
      <c r="B17" s="19" t="n">
        <v>32.3</v>
      </c>
      <c r="C17" s="19" t="n">
        <v>35.4</v>
      </c>
      <c r="D17" s="19" t="n">
        <v>38.7</v>
      </c>
      <c r="E17" s="32" t="n">
        <v>41.8</v>
      </c>
      <c r="F17" s="32" t="n">
        <v>44.5</v>
      </c>
      <c r="G17" s="4" t="s">
        <v>94</v>
      </c>
    </row>
    <row r="18" customFormat="false" ht="15" hidden="false" customHeight="true" outlineLevel="0" collapsed="false">
      <c r="A18" s="8" t="s">
        <v>35</v>
      </c>
      <c r="B18" s="19" t="n">
        <v>127.9</v>
      </c>
      <c r="C18" s="19" t="n">
        <v>136.8</v>
      </c>
      <c r="D18" s="19" t="n">
        <v>145.2</v>
      </c>
      <c r="E18" s="32" t="n">
        <v>153.5</v>
      </c>
      <c r="F18" s="32" t="n">
        <v>161</v>
      </c>
    </row>
    <row r="19" customFormat="false" ht="15" hidden="false" customHeight="true" outlineLevel="0" collapsed="false">
      <c r="A19" s="8" t="s">
        <v>95</v>
      </c>
      <c r="B19" s="27" t="n">
        <v>60</v>
      </c>
      <c r="C19" s="27" t="n">
        <v>60</v>
      </c>
      <c r="D19" s="27" t="n">
        <v>65</v>
      </c>
      <c r="E19" s="33" t="n">
        <v>65</v>
      </c>
      <c r="F19" s="33" t="n">
        <v>65</v>
      </c>
      <c r="G19" s="4" t="s">
        <v>96</v>
      </c>
    </row>
    <row r="20" customFormat="false" ht="15" hidden="false" customHeight="true" outlineLevel="0" collapsed="false">
      <c r="A20" s="8" t="s">
        <v>59</v>
      </c>
      <c r="B20" s="20" t="n">
        <v>0.904</v>
      </c>
      <c r="C20" s="20" t="n">
        <v>0.905</v>
      </c>
      <c r="D20" s="20" t="n">
        <v>0.898</v>
      </c>
      <c r="E20" s="31" t="n">
        <v>0.899</v>
      </c>
      <c r="F20" s="31" t="n">
        <v>0.9</v>
      </c>
      <c r="G20" s="4" t="s">
        <v>97</v>
      </c>
    </row>
    <row r="21" customFormat="false" ht="15" hidden="false" customHeight="true" outlineLevel="0" collapsed="false">
      <c r="A21" s="8" t="s">
        <v>63</v>
      </c>
      <c r="B21" s="26" t="n">
        <v>64.51</v>
      </c>
      <c r="C21" s="26" t="n">
        <v>63.36</v>
      </c>
      <c r="D21" s="26" t="n">
        <v>65.72</v>
      </c>
      <c r="E21" s="26" t="n">
        <f aca="false">'Income Statement'!E7/E13</f>
        <v>66.3360121127417</v>
      </c>
      <c r="F21" s="26" t="n">
        <f aca="false">'Income Statement'!F7/F13</f>
        <v>66.6504007957405</v>
      </c>
    </row>
    <row r="22" customFormat="false" ht="15" hidden="false" customHeight="true" outlineLevel="0" collapsed="false">
      <c r="A22" s="8" t="s">
        <v>98</v>
      </c>
      <c r="C22" s="20" t="n">
        <v>0.054</v>
      </c>
      <c r="D22" s="20" t="n">
        <v>0.102</v>
      </c>
      <c r="E22" s="31" t="n">
        <v>0.07</v>
      </c>
      <c r="F22" s="31" t="n">
        <v>0.06</v>
      </c>
      <c r="G22" s="4" t="s">
        <v>99</v>
      </c>
    </row>
    <row r="23" customFormat="false" ht="15" hidden="false" customHeight="true" outlineLevel="0" collapsed="false">
      <c r="A23" s="8" t="s">
        <v>100</v>
      </c>
      <c r="B23" s="20" t="n">
        <v>0.718</v>
      </c>
      <c r="C23" s="20" t="n">
        <v>0.731</v>
      </c>
      <c r="D23" s="20" t="n">
        <v>0.736</v>
      </c>
      <c r="E23" s="31" t="n">
        <v>0.742</v>
      </c>
      <c r="F23" s="31" t="n">
        <v>0.748</v>
      </c>
      <c r="G23" s="4" t="s">
        <v>101</v>
      </c>
    </row>
    <row r="25" customFormat="false" ht="15" hidden="false" customHeight="true" outlineLevel="0" collapsed="false">
      <c r="A25" s="6" t="s">
        <v>102</v>
      </c>
      <c r="B25" s="7"/>
      <c r="C25" s="7"/>
      <c r="D25" s="7"/>
      <c r="E25" s="7"/>
      <c r="F25" s="7"/>
      <c r="G25" s="7"/>
    </row>
    <row r="26" customFormat="false" ht="15" hidden="false" customHeight="true" outlineLevel="0" collapsed="false">
      <c r="A26" s="8" t="s">
        <v>103</v>
      </c>
      <c r="B26" s="10" t="n">
        <v>0.1057</v>
      </c>
      <c r="C26" s="10" t="n">
        <v>0.1092</v>
      </c>
      <c r="D26" s="10" t="n">
        <v>0.1112</v>
      </c>
      <c r="E26" s="31" t="n">
        <v>0.112</v>
      </c>
      <c r="F26" s="31" t="n">
        <v>0.1125</v>
      </c>
      <c r="G26" s="4" t="s">
        <v>104</v>
      </c>
    </row>
    <row r="27" customFormat="false" ht="15" hidden="false" customHeight="true" outlineLevel="0" collapsed="false">
      <c r="A27" s="8" t="s">
        <v>20</v>
      </c>
      <c r="B27" s="10" t="n">
        <v>0.0908</v>
      </c>
      <c r="C27" s="10" t="n">
        <v>0.0914</v>
      </c>
      <c r="D27" s="10" t="n">
        <v>0.0925</v>
      </c>
      <c r="E27" s="31" t="n">
        <v>0.0928</v>
      </c>
      <c r="F27" s="31" t="n">
        <v>0.093</v>
      </c>
      <c r="G27" s="4" t="s">
        <v>105</v>
      </c>
    </row>
    <row r="29" customFormat="false" ht="15" hidden="false" customHeight="true" outlineLevel="0" collapsed="false">
      <c r="A29" s="6" t="s">
        <v>106</v>
      </c>
      <c r="B29" s="7"/>
      <c r="C29" s="7"/>
      <c r="D29" s="7"/>
      <c r="E29" s="7"/>
      <c r="F29" s="7"/>
      <c r="G29" s="7"/>
    </row>
    <row r="30" customFormat="false" ht="15" hidden="false" customHeight="true" outlineLevel="0" collapsed="false">
      <c r="A30" s="8" t="s">
        <v>107</v>
      </c>
      <c r="B30" s="9" t="n">
        <v>160</v>
      </c>
      <c r="C30" s="9" t="n">
        <v>169</v>
      </c>
      <c r="D30" s="9" t="n">
        <v>154</v>
      </c>
      <c r="E30" s="34" t="n">
        <v>150</v>
      </c>
      <c r="F30" s="34" t="n">
        <v>145</v>
      </c>
      <c r="G30" s="4" t="s">
        <v>108</v>
      </c>
    </row>
    <row r="31" customFormat="false" ht="15" hidden="false" customHeight="true" outlineLevel="0" collapsed="false">
      <c r="A31" s="8" t="s">
        <v>109</v>
      </c>
      <c r="B31" s="9" t="n">
        <v>533</v>
      </c>
      <c r="C31" s="9" t="n">
        <v>624</v>
      </c>
      <c r="D31" s="9" t="n">
        <v>589</v>
      </c>
      <c r="E31" s="34" t="n">
        <v>550</v>
      </c>
      <c r="F31" s="34" t="n">
        <v>525</v>
      </c>
      <c r="G31" s="4" t="s">
        <v>110</v>
      </c>
    </row>
    <row r="32" customFormat="false" ht="15" hidden="false" customHeight="true" outlineLevel="0" collapsed="false">
      <c r="A32" s="8" t="s">
        <v>111</v>
      </c>
      <c r="B32" s="20" t="n">
        <v>0.259</v>
      </c>
      <c r="C32" s="20" t="n">
        <v>0.244</v>
      </c>
      <c r="D32" s="20" t="n">
        <v>0.251</v>
      </c>
      <c r="E32" s="31" t="n">
        <v>0.25</v>
      </c>
      <c r="F32" s="31" t="n">
        <v>0.25</v>
      </c>
      <c r="G32" s="4" t="s">
        <v>112</v>
      </c>
    </row>
    <row r="34" customFormat="false" ht="15" hidden="false" customHeight="true" outlineLevel="0" collapsed="false">
      <c r="A34" s="6" t="s">
        <v>113</v>
      </c>
      <c r="B34" s="7"/>
      <c r="C34" s="7"/>
      <c r="D34" s="7"/>
      <c r="E34" s="7"/>
      <c r="F34" s="7"/>
      <c r="G34" s="7"/>
    </row>
    <row r="35" customFormat="false" ht="15" hidden="false" customHeight="true" outlineLevel="0" collapsed="false">
      <c r="A35" s="8" t="s">
        <v>114</v>
      </c>
      <c r="B35" s="9" t="n">
        <v>2489</v>
      </c>
      <c r="C35" s="9" t="n">
        <v>2237</v>
      </c>
      <c r="D35" s="9" t="n">
        <v>2426</v>
      </c>
      <c r="E35" s="34" t="n">
        <v>2600</v>
      </c>
      <c r="F35" s="34" t="n">
        <v>2780</v>
      </c>
      <c r="G35" s="4" t="s">
        <v>115</v>
      </c>
    </row>
    <row r="36" customFormat="false" ht="15" hidden="false" customHeight="true" outlineLevel="0" collapsed="false">
      <c r="A36" s="8" t="s">
        <v>116</v>
      </c>
      <c r="B36" s="9" t="n">
        <v>774</v>
      </c>
      <c r="C36" s="9" t="n">
        <v>818</v>
      </c>
      <c r="D36" s="9" t="n">
        <v>860</v>
      </c>
      <c r="E36" s="34" t="n">
        <v>900</v>
      </c>
      <c r="F36" s="34" t="n">
        <v>940</v>
      </c>
      <c r="G36" s="4" t="s">
        <v>117</v>
      </c>
    </row>
    <row r="37" customFormat="false" ht="15" hidden="false" customHeight="true" outlineLevel="0" collapsed="false">
      <c r="A37" s="8" t="s">
        <v>118</v>
      </c>
      <c r="B37" s="9" t="n">
        <v>4323</v>
      </c>
      <c r="C37" s="9" t="n">
        <v>4710</v>
      </c>
      <c r="D37" s="9" t="n">
        <v>5498</v>
      </c>
      <c r="E37" s="34" t="n">
        <v>6250</v>
      </c>
      <c r="F37" s="34" t="n">
        <v>6500</v>
      </c>
      <c r="G37" s="4" t="s">
        <v>119</v>
      </c>
    </row>
    <row r="38" customFormat="false" ht="15" hidden="false" customHeight="true" outlineLevel="0" collapsed="false">
      <c r="A38" s="8" t="s">
        <v>120</v>
      </c>
      <c r="B38" s="35" t="n">
        <v>1018</v>
      </c>
      <c r="C38" s="35" t="n">
        <v>611</v>
      </c>
      <c r="D38" s="35" t="n">
        <v>1764</v>
      </c>
      <c r="E38" s="36" t="n">
        <v>800</v>
      </c>
      <c r="F38" s="36" t="n">
        <v>700</v>
      </c>
      <c r="G38" s="4" t="s">
        <v>121</v>
      </c>
    </row>
    <row r="39" customFormat="false" ht="15" hidden="false" customHeight="true" outlineLevel="0" collapsed="false">
      <c r="A39" s="8" t="s">
        <v>122</v>
      </c>
      <c r="B39" s="9" t="n">
        <v>495</v>
      </c>
      <c r="C39" s="9" t="n">
        <v>306</v>
      </c>
      <c r="D39" s="9" t="n">
        <v>186</v>
      </c>
      <c r="E39" s="34" t="n">
        <v>300</v>
      </c>
      <c r="F39" s="34" t="n">
        <v>300</v>
      </c>
      <c r="G39" s="4" t="s">
        <v>123</v>
      </c>
    </row>
    <row r="40" customFormat="false" ht="15" hidden="false" customHeight="true" outlineLevel="0" collapsed="false">
      <c r="A40" s="8" t="s">
        <v>124</v>
      </c>
      <c r="B40" s="19" t="n">
        <v>444.452</v>
      </c>
      <c r="C40" s="19" t="n">
        <v>444.759</v>
      </c>
      <c r="D40" s="19" t="n">
        <v>444.803</v>
      </c>
      <c r="E40" s="32" t="n">
        <v>445</v>
      </c>
      <c r="F40" s="32" t="n">
        <v>445.2</v>
      </c>
      <c r="G40" s="4" t="s">
        <v>125</v>
      </c>
    </row>
    <row r="42" customFormat="false" ht="15" hidden="false" customHeight="true" outlineLevel="0" collapsed="false">
      <c r="A42" s="37" t="s">
        <v>126</v>
      </c>
    </row>
    <row r="43" customFormat="false" ht="15" hidden="false" customHeight="true" outlineLevel="0" collapsed="false">
      <c r="A43" s="38" t="s">
        <v>127</v>
      </c>
    </row>
    <row r="44" customFormat="false" ht="15" hidden="false" customHeight="true" outlineLevel="0" collapsed="false">
      <c r="A44" s="39" t="s">
        <v>128</v>
      </c>
    </row>
    <row r="45" customFormat="false" ht="15" hidden="false" customHeight="true" outlineLevel="0" collapsed="false">
      <c r="A45" s="4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130</v>
      </c>
    </row>
    <row r="3" customFormat="false" ht="15" hidden="false" customHeight="true" outlineLevel="0" collapsed="false">
      <c r="A3" s="4" t="s">
        <v>131</v>
      </c>
    </row>
    <row r="4" customFormat="false" ht="15" hidden="false" customHeight="true" outlineLevel="0" collapsed="false">
      <c r="A4" s="5"/>
      <c r="B4" s="5" t="s">
        <v>3</v>
      </c>
      <c r="C4" s="5" t="s">
        <v>4</v>
      </c>
      <c r="D4" s="5" t="s">
        <v>5</v>
      </c>
      <c r="E4" s="5" t="s">
        <v>41</v>
      </c>
      <c r="F4" s="5" t="s">
        <v>42</v>
      </c>
    </row>
    <row r="5" customFormat="false" ht="15" hidden="false" customHeight="true" outlineLevel="0" collapsed="false">
      <c r="A5" s="6" t="s">
        <v>132</v>
      </c>
      <c r="B5" s="7"/>
      <c r="C5" s="7"/>
      <c r="D5" s="7"/>
      <c r="E5" s="7"/>
      <c r="F5" s="7"/>
    </row>
    <row r="6" customFormat="false" ht="15" hidden="false" customHeight="true" outlineLevel="0" collapsed="false">
      <c r="A6" s="8" t="s">
        <v>8</v>
      </c>
      <c r="B6" s="9" t="n">
        <v>237710</v>
      </c>
      <c r="C6" s="9" t="n">
        <v>249625</v>
      </c>
      <c r="D6" s="9" t="n">
        <v>269912</v>
      </c>
      <c r="E6" s="21" t="n">
        <f aca="false">D6*(1+Assumptions!E8)</f>
        <v>291504.96</v>
      </c>
      <c r="F6" s="21" t="n">
        <f aca="false">E6*(1+Assumptions!F8)</f>
        <v>311910.3072</v>
      </c>
    </row>
    <row r="7" customFormat="false" ht="15" hidden="false" customHeight="true" outlineLevel="0" collapsed="false">
      <c r="A7" s="8" t="s">
        <v>9</v>
      </c>
      <c r="B7" s="9" t="n">
        <v>4580</v>
      </c>
      <c r="C7" s="9" t="n">
        <v>4828</v>
      </c>
      <c r="D7" s="9" t="n">
        <v>5323</v>
      </c>
      <c r="E7" s="21" t="n">
        <f aca="false">D7*(1+Assumptions!E22)</f>
        <v>5695.61</v>
      </c>
      <c r="F7" s="21" t="n">
        <f aca="false">E7*(1+Assumptions!F22)</f>
        <v>6037.3466</v>
      </c>
    </row>
    <row r="8" customFormat="false" ht="15" hidden="false" customHeight="true" outlineLevel="0" collapsed="false">
      <c r="A8" s="22" t="s">
        <v>10</v>
      </c>
      <c r="B8" s="41" t="n">
        <f aca="false">B6+B7</f>
        <v>242290</v>
      </c>
      <c r="C8" s="41" t="n">
        <f aca="false">C6+C7</f>
        <v>254453</v>
      </c>
      <c r="D8" s="41" t="n">
        <f aca="false">D6+D7</f>
        <v>275235</v>
      </c>
      <c r="E8" s="41" t="n">
        <f aca="false">E6+E7</f>
        <v>297200.57</v>
      </c>
      <c r="F8" s="41" t="n">
        <f aca="false">F6+F7</f>
        <v>317947.6538</v>
      </c>
    </row>
    <row r="9" customFormat="false" ht="15" hidden="false" customHeight="true" outlineLevel="0" collapsed="false">
      <c r="A9" s="6" t="s">
        <v>133</v>
      </c>
      <c r="B9" s="7"/>
      <c r="C9" s="7"/>
      <c r="D9" s="7"/>
      <c r="E9" s="7"/>
      <c r="F9" s="7"/>
    </row>
    <row r="10" customFormat="false" ht="15" hidden="false" customHeight="true" outlineLevel="0" collapsed="false">
      <c r="A10" s="8" t="s">
        <v>11</v>
      </c>
      <c r="B10" s="9" t="n">
        <v>212586</v>
      </c>
      <c r="C10" s="9" t="n">
        <v>222358</v>
      </c>
      <c r="D10" s="9" t="n">
        <v>239886</v>
      </c>
      <c r="E10" s="21" t="n">
        <f aca="false">E6*(1-Assumptions!E26)</f>
        <v>258856.40448</v>
      </c>
      <c r="F10" s="21" t="n">
        <f aca="false">F6*(1-Assumptions!F26)</f>
        <v>276820.39764</v>
      </c>
    </row>
    <row r="11" customFormat="false" ht="15" hidden="false" customHeight="true" outlineLevel="0" collapsed="false">
      <c r="A11" s="22" t="s">
        <v>12</v>
      </c>
      <c r="B11" s="42" t="n">
        <f aca="false">B8-B10</f>
        <v>29704</v>
      </c>
      <c r="C11" s="42" t="n">
        <f aca="false">C8-C10</f>
        <v>32095</v>
      </c>
      <c r="D11" s="42" t="n">
        <f aca="false">D8-D10</f>
        <v>35349</v>
      </c>
      <c r="E11" s="42" t="n">
        <f aca="false">E8-E10</f>
        <v>38344.16552</v>
      </c>
      <c r="F11" s="42" t="n">
        <f aca="false">F8-F10</f>
        <v>41127.25616</v>
      </c>
    </row>
    <row r="12" customFormat="false" ht="15" hidden="false" customHeight="true" outlineLevel="0" collapsed="false">
      <c r="A12" s="8" t="s">
        <v>134</v>
      </c>
      <c r="B12" s="9" t="n">
        <v>21590</v>
      </c>
      <c r="C12" s="9" t="n">
        <v>22810</v>
      </c>
      <c r="D12" s="9" t="n">
        <v>24966</v>
      </c>
      <c r="E12" s="21" t="n">
        <f aca="false">E6*Assumptions!E27</f>
        <v>27051.660288</v>
      </c>
      <c r="F12" s="21" t="n">
        <f aca="false">F6*Assumptions!F27</f>
        <v>29007.6585696</v>
      </c>
    </row>
    <row r="13" customFormat="false" ht="15" hidden="false" customHeight="true" outlineLevel="0" collapsed="false">
      <c r="A13" s="22" t="s">
        <v>135</v>
      </c>
      <c r="B13" s="41" t="n">
        <f aca="false">B11-B12</f>
        <v>8114</v>
      </c>
      <c r="C13" s="41" t="n">
        <f aca="false">C11-C12</f>
        <v>9285</v>
      </c>
      <c r="D13" s="41" t="n">
        <f aca="false">D11-D12</f>
        <v>10383</v>
      </c>
      <c r="E13" s="41" t="n">
        <f aca="false">E11-E12</f>
        <v>11292.505232</v>
      </c>
      <c r="F13" s="41" t="n">
        <f aca="false">F11-F12</f>
        <v>12119.5975904</v>
      </c>
    </row>
    <row r="14" customFormat="false" ht="15" hidden="false" customHeight="true" outlineLevel="0" collapsed="false">
      <c r="A14" s="6" t="s">
        <v>136</v>
      </c>
      <c r="B14" s="7"/>
      <c r="C14" s="7"/>
      <c r="D14" s="7"/>
      <c r="E14" s="7"/>
      <c r="F14" s="7"/>
    </row>
    <row r="15" customFormat="false" ht="15" hidden="false" customHeight="true" outlineLevel="0" collapsed="false">
      <c r="A15" s="8" t="s">
        <v>137</v>
      </c>
      <c r="B15" s="43" t="n">
        <f aca="false">-Assumptions!B30</f>
        <v>-160</v>
      </c>
      <c r="C15" s="43" t="n">
        <f aca="false">-Assumptions!C30</f>
        <v>-169</v>
      </c>
      <c r="D15" s="43" t="n">
        <f aca="false">-Assumptions!D30</f>
        <v>-154</v>
      </c>
      <c r="E15" s="43" t="n">
        <f aca="false">-Assumptions!E30</f>
        <v>-150</v>
      </c>
      <c r="F15" s="43" t="n">
        <f aca="false">-Assumptions!F30</f>
        <v>-145</v>
      </c>
    </row>
    <row r="16" customFormat="false" ht="15" hidden="false" customHeight="true" outlineLevel="0" collapsed="false">
      <c r="A16" s="8" t="s">
        <v>138</v>
      </c>
      <c r="B16" s="21" t="n">
        <f aca="false">Assumptions!B31</f>
        <v>533</v>
      </c>
      <c r="C16" s="21" t="n">
        <f aca="false">Assumptions!C31</f>
        <v>624</v>
      </c>
      <c r="D16" s="21" t="n">
        <f aca="false">Assumptions!D31</f>
        <v>589</v>
      </c>
      <c r="E16" s="21" t="n">
        <f aca="false">Assumptions!E31</f>
        <v>550</v>
      </c>
      <c r="F16" s="21" t="n">
        <f aca="false">Assumptions!F31</f>
        <v>525</v>
      </c>
    </row>
    <row r="17" customFormat="false" ht="15" hidden="false" customHeight="true" outlineLevel="0" collapsed="false">
      <c r="A17" s="6" t="s">
        <v>139</v>
      </c>
      <c r="B17" s="7"/>
      <c r="C17" s="7"/>
      <c r="D17" s="7"/>
      <c r="E17" s="7"/>
      <c r="F17" s="7"/>
    </row>
    <row r="18" customFormat="false" ht="15" hidden="false" customHeight="true" outlineLevel="0" collapsed="false">
      <c r="A18" s="22" t="s">
        <v>140</v>
      </c>
      <c r="B18" s="44" t="n">
        <f aca="false">B13+B15+B16</f>
        <v>8487</v>
      </c>
      <c r="C18" s="44" t="n">
        <f aca="false">C13+C15+C16</f>
        <v>9740</v>
      </c>
      <c r="D18" s="44" t="n">
        <f aca="false">D13+D15+D16</f>
        <v>10818</v>
      </c>
      <c r="E18" s="44" t="n">
        <f aca="false">E13+E15+E16</f>
        <v>11692.505232</v>
      </c>
      <c r="F18" s="44" t="n">
        <f aca="false">F13+F15+F16</f>
        <v>12499.5975904</v>
      </c>
    </row>
    <row r="19" customFormat="false" ht="15" hidden="false" customHeight="true" outlineLevel="0" collapsed="false">
      <c r="A19" s="8" t="s">
        <v>141</v>
      </c>
      <c r="B19" s="9" t="n">
        <v>2195</v>
      </c>
      <c r="C19" s="9" t="n">
        <v>2373</v>
      </c>
      <c r="D19" s="9" t="n">
        <v>2719</v>
      </c>
      <c r="E19" s="21" t="n">
        <f aca="false">E18*Assumptions!E32</f>
        <v>2923.126308</v>
      </c>
      <c r="F19" s="21" t="n">
        <f aca="false">F18*Assumptions!F32</f>
        <v>3124.8993976</v>
      </c>
    </row>
    <row r="20" customFormat="false" ht="15" hidden="false" customHeight="true" outlineLevel="0" collapsed="false">
      <c r="A20" s="22" t="s">
        <v>15</v>
      </c>
      <c r="B20" s="45" t="n">
        <f aca="false">B18-B19</f>
        <v>6292</v>
      </c>
      <c r="C20" s="45" t="n">
        <f aca="false">C18-C19</f>
        <v>7367</v>
      </c>
      <c r="D20" s="45" t="n">
        <f aca="false">D18-D19</f>
        <v>8099</v>
      </c>
      <c r="E20" s="45" t="n">
        <f aca="false">E18-E19</f>
        <v>8769.37892399999</v>
      </c>
      <c r="F20" s="45" t="n">
        <f aca="false">F18-F19</f>
        <v>9374.69819279999</v>
      </c>
    </row>
    <row r="21" customFormat="false" ht="15" hidden="false" customHeight="true" outlineLevel="0" collapsed="false">
      <c r="A21" s="6" t="s">
        <v>142</v>
      </c>
      <c r="B21" s="7"/>
      <c r="C21" s="7"/>
      <c r="D21" s="7"/>
      <c r="E21" s="7"/>
      <c r="F21" s="7"/>
    </row>
    <row r="22" customFormat="false" ht="15" hidden="false" customHeight="true" outlineLevel="0" collapsed="false">
      <c r="A22" s="22" t="s">
        <v>16</v>
      </c>
      <c r="B22" s="46" t="n">
        <f aca="false">B20/Assumptions!B40</f>
        <v>14.1567593350913</v>
      </c>
      <c r="C22" s="46" t="n">
        <f aca="false">C20/Assumptions!C40</f>
        <v>16.5640268100252</v>
      </c>
      <c r="D22" s="46" t="n">
        <f aca="false">D20/Assumptions!D40</f>
        <v>18.208060647073</v>
      </c>
      <c r="E22" s="46" t="n">
        <f aca="false">E20/Assumptions!E40</f>
        <v>19.7064694921348</v>
      </c>
      <c r="F22" s="46" t="n">
        <f aca="false">F20/Assumptions!F40</f>
        <v>21.0572735687331</v>
      </c>
    </row>
    <row r="23" customFormat="false" ht="15" hidden="false" customHeight="true" outlineLevel="0" collapsed="false">
      <c r="A23" s="8" t="s">
        <v>143</v>
      </c>
      <c r="B23" s="23" t="n">
        <f aca="false">Assumptions!B40</f>
        <v>444.452</v>
      </c>
      <c r="C23" s="23" t="n">
        <f aca="false">Assumptions!C40</f>
        <v>444.759</v>
      </c>
      <c r="D23" s="23" t="n">
        <f aca="false">Assumptions!D40</f>
        <v>444.803</v>
      </c>
      <c r="E23" s="23" t="n">
        <f aca="false">Assumptions!E40</f>
        <v>445</v>
      </c>
      <c r="F23" s="23" t="n">
        <f aca="false">Assumptions!F40</f>
        <v>445.2</v>
      </c>
    </row>
    <row r="25" customFormat="false" ht="15" hidden="false" customHeight="true" outlineLevel="0" collapsed="false">
      <c r="A25" s="6" t="s">
        <v>144</v>
      </c>
      <c r="B25" s="7"/>
      <c r="C25" s="7"/>
      <c r="D25" s="7"/>
      <c r="E25" s="7"/>
      <c r="F25" s="7"/>
    </row>
    <row r="26" customFormat="false" ht="15" hidden="false" customHeight="true" outlineLevel="0" collapsed="false">
      <c r="A26" s="8" t="s">
        <v>18</v>
      </c>
      <c r="B26" s="10" t="n">
        <f aca="false">(B6-B10)/B6</f>
        <v>0.105691809347524</v>
      </c>
      <c r="C26" s="10" t="n">
        <f aca="false">(C6-C10)/C6</f>
        <v>0.109231847771657</v>
      </c>
      <c r="D26" s="10" t="n">
        <f aca="false">(D6-D10)/D6</f>
        <v>0.111243664601796</v>
      </c>
      <c r="E26" s="10" t="n">
        <f aca="false">(E6-E10)/E6</f>
        <v>0.112</v>
      </c>
      <c r="F26" s="10" t="n">
        <f aca="false">(F6-F10)/F6</f>
        <v>0.1125</v>
      </c>
    </row>
    <row r="27" customFormat="false" ht="15" hidden="false" customHeight="true" outlineLevel="0" collapsed="false">
      <c r="A27" s="8" t="s">
        <v>19</v>
      </c>
      <c r="B27" s="10" t="n">
        <f aca="false">B11/B8</f>
        <v>0.122596888026745</v>
      </c>
      <c r="C27" s="10" t="n">
        <f aca="false">C11/C8</f>
        <v>0.126133313421339</v>
      </c>
      <c r="D27" s="10" t="n">
        <f aca="false">D11/D8</f>
        <v>0.128432067142624</v>
      </c>
      <c r="E27" s="10" t="n">
        <f aca="false">E11/E8</f>
        <v>0.129017806123319</v>
      </c>
      <c r="F27" s="10" t="n">
        <f aca="false">F11/F8</f>
        <v>0.129352286983286</v>
      </c>
    </row>
    <row r="28" customFormat="false" ht="15" hidden="false" customHeight="true" outlineLevel="0" collapsed="false">
      <c r="A28" s="8" t="s">
        <v>20</v>
      </c>
      <c r="B28" s="10" t="n">
        <f aca="false">B12/B6</f>
        <v>0.0908249547768289</v>
      </c>
      <c r="C28" s="10" t="n">
        <f aca="false">C12/C6</f>
        <v>0.0913770655983976</v>
      </c>
      <c r="D28" s="10" t="n">
        <f aca="false">D12/D6</f>
        <v>0.0924968137763419</v>
      </c>
      <c r="E28" s="10" t="n">
        <f aca="false">E12/E6</f>
        <v>0.0928</v>
      </c>
      <c r="F28" s="10" t="n">
        <f aca="false">F12/F6</f>
        <v>0.093</v>
      </c>
    </row>
    <row r="29" customFormat="false" ht="15" hidden="false" customHeight="true" outlineLevel="0" collapsed="false">
      <c r="A29" s="8" t="s">
        <v>21</v>
      </c>
      <c r="B29" s="10" t="n">
        <f aca="false">B13/B8</f>
        <v>0.03348879441991</v>
      </c>
      <c r="C29" s="10" t="n">
        <f aca="false">C13/C8</f>
        <v>0.0364900394178886</v>
      </c>
      <c r="D29" s="10" t="n">
        <f aca="false">D13/D8</f>
        <v>0.0377241266554036</v>
      </c>
      <c r="E29" s="10" t="n">
        <f aca="false">E13/E8</f>
        <v>0.0379962435199905</v>
      </c>
      <c r="F29" s="10" t="n">
        <f aca="false">F13/F8</f>
        <v>0.0381182167742104</v>
      </c>
    </row>
    <row r="30" customFormat="false" ht="15" hidden="false" customHeight="true" outlineLevel="0" collapsed="false">
      <c r="A30" s="8" t="s">
        <v>22</v>
      </c>
      <c r="B30" s="10" t="n">
        <f aca="false">B20/B8</f>
        <v>0.0259688802674481</v>
      </c>
      <c r="C30" s="10" t="n">
        <f aca="false">C20/C8</f>
        <v>0.0289523016038325</v>
      </c>
      <c r="D30" s="10" t="n">
        <f aca="false">D20/D8</f>
        <v>0.0294257634385162</v>
      </c>
      <c r="E30" s="10" t="n">
        <f aca="false">E20/E8</f>
        <v>0.0295066019691685</v>
      </c>
      <c r="F30" s="10" t="n">
        <f aca="false">F20/F8</f>
        <v>0.0294850365484911</v>
      </c>
    </row>
    <row r="31" customFormat="false" ht="15" hidden="false" customHeight="true" outlineLevel="0" collapsed="false">
      <c r="A31" s="8" t="s">
        <v>23</v>
      </c>
      <c r="B31" s="10" t="n">
        <f aca="false">B19/B18</f>
        <v>0.258630847178037</v>
      </c>
      <c r="C31" s="10" t="n">
        <f aca="false">C19/C18</f>
        <v>0.243634496919918</v>
      </c>
      <c r="D31" s="10" t="n">
        <f aca="false">D19/D18</f>
        <v>0.25134035866149</v>
      </c>
      <c r="E31" s="10" t="n">
        <f aca="false">E19/E18</f>
        <v>0.25</v>
      </c>
      <c r="F31" s="10" t="n">
        <f aca="false">F19/F18</f>
        <v>0.25</v>
      </c>
    </row>
    <row r="33" customFormat="false" ht="15" hidden="false" customHeight="true" outlineLevel="0" collapsed="false">
      <c r="A33" s="8" t="s">
        <v>145</v>
      </c>
      <c r="C33" s="10" t="n">
        <f aca="false">(C6-B6)/B6</f>
        <v>0.0501241007950865</v>
      </c>
      <c r="D33" s="10" t="n">
        <f aca="false">(D6-C6)/C6</f>
        <v>0.0812699048572859</v>
      </c>
      <c r="E33" s="10" t="n">
        <f aca="false">(E6-D6)/D6</f>
        <v>0.0800000000000001</v>
      </c>
      <c r="F33" s="10" t="n">
        <f aca="false">(F6-E6)/E6</f>
        <v>0.0700000000000001</v>
      </c>
    </row>
    <row r="34" customFormat="false" ht="15" hidden="false" customHeight="true" outlineLevel="0" collapsed="false">
      <c r="A34" s="8" t="s">
        <v>146</v>
      </c>
      <c r="C34" s="10" t="n">
        <f aca="false">(C8-B8)/B8</f>
        <v>0.0502001733459903</v>
      </c>
      <c r="D34" s="10" t="n">
        <f aca="false">(D8-C8)/C8</f>
        <v>0.0816732363147615</v>
      </c>
      <c r="E34" s="10" t="n">
        <f aca="false">(E8-D8)/D8</f>
        <v>0.0798066016313333</v>
      </c>
      <c r="F34" s="10" t="n">
        <f aca="false">(F8-E8)/E8</f>
        <v>0.0698083580391519</v>
      </c>
    </row>
    <row r="35" customFormat="false" ht="15" hidden="false" customHeight="true" outlineLevel="0" collapsed="false">
      <c r="A35" s="8" t="s">
        <v>147</v>
      </c>
      <c r="C35" s="10" t="n">
        <f aca="false">(C13-B13)/B13</f>
        <v>0.144318461917673</v>
      </c>
      <c r="D35" s="10" t="n">
        <f aca="false">(D13-C13)/C13</f>
        <v>0.118255250403877</v>
      </c>
      <c r="E35" s="10" t="n">
        <f aca="false">(E13-D13)/D13</f>
        <v>0.08759561128768</v>
      </c>
      <c r="F35" s="10" t="n">
        <f aca="false">(F13-E13)/E13</f>
        <v>0.0732425924458501</v>
      </c>
    </row>
    <row r="36" customFormat="false" ht="15" hidden="false" customHeight="true" outlineLevel="0" collapsed="false">
      <c r="A36" s="8" t="s">
        <v>148</v>
      </c>
      <c r="C36" s="10" t="n">
        <f aca="false">(C20-B20)/B20</f>
        <v>0.17085187539733</v>
      </c>
      <c r="D36" s="10" t="n">
        <f aca="false">(D20-C20)/C20</f>
        <v>0.0993620198181078</v>
      </c>
      <c r="E36" s="10" t="n">
        <f aca="false">(E20-D20)/D20</f>
        <v>0.0827730490183956</v>
      </c>
      <c r="F36" s="10" t="n">
        <f aca="false">(F20-E20)/E20</f>
        <v>0.0690264697244829</v>
      </c>
    </row>
    <row r="37" customFormat="false" ht="15" hidden="false" customHeight="true" outlineLevel="0" collapsed="false">
      <c r="A37" s="8" t="s">
        <v>149</v>
      </c>
      <c r="C37" s="10" t="n">
        <f aca="false">(C22-B22)/B22</f>
        <v>0.170043681463656</v>
      </c>
      <c r="D37" s="10" t="n">
        <f aca="false">(D22-C22)/C22</f>
        <v>0.0992532707114875</v>
      </c>
      <c r="E37" s="10" t="n">
        <f aca="false">(E22-D22)/D22</f>
        <v>0.0822937090393921</v>
      </c>
      <c r="F37" s="10" t="n">
        <f aca="false">(F22-E22)/E22</f>
        <v>0.0685462242304467</v>
      </c>
    </row>
    <row r="38" customFormat="false" ht="15" hidden="false" customHeight="true" outlineLevel="0" collapsed="false">
      <c r="A38" s="6" t="s">
        <v>150</v>
      </c>
      <c r="B38" s="7"/>
      <c r="C38" s="7"/>
      <c r="D38" s="7"/>
      <c r="E38" s="7"/>
      <c r="F38" s="7"/>
    </row>
    <row r="39" customFormat="false" ht="15" hidden="false" customHeight="true" outlineLevel="0" collapsed="false">
      <c r="A39" s="22" t="s">
        <v>29</v>
      </c>
      <c r="B39" s="44" t="n">
        <f aca="false">B13+Assumptions!B35</f>
        <v>10603</v>
      </c>
      <c r="C39" s="44" t="n">
        <f aca="false">C13+Assumptions!C35</f>
        <v>11522</v>
      </c>
      <c r="D39" s="44" t="n">
        <f aca="false">D13+Assumptions!D35</f>
        <v>12809</v>
      </c>
      <c r="E39" s="44" t="n">
        <f aca="false">E13+Assumptions!E35</f>
        <v>13892.505232</v>
      </c>
      <c r="F39" s="44" t="n">
        <f aca="false">F13+Assumptions!F35</f>
        <v>14899.5975904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151</v>
      </c>
    </row>
    <row r="3" customFormat="false" ht="15" hidden="false" customHeight="true" outlineLevel="0" collapsed="false">
      <c r="A3" s="4" t="s">
        <v>152</v>
      </c>
    </row>
    <row r="4" customFormat="false" ht="15" hidden="false" customHeight="true" outlineLevel="0" collapsed="false">
      <c r="A4" s="5"/>
      <c r="B4" s="5" t="s">
        <v>153</v>
      </c>
      <c r="C4" s="5" t="s">
        <v>154</v>
      </c>
      <c r="D4" s="5" t="s">
        <v>155</v>
      </c>
      <c r="E4" s="5" t="s">
        <v>156</v>
      </c>
    </row>
    <row r="5" customFormat="false" ht="15" hidden="false" customHeight="true" outlineLevel="0" collapsed="false">
      <c r="A5" s="6" t="s">
        <v>157</v>
      </c>
      <c r="B5" s="7"/>
      <c r="C5" s="7"/>
      <c r="D5" s="7"/>
      <c r="E5" s="7"/>
    </row>
    <row r="6" customFormat="false" ht="15" hidden="false" customHeight="true" outlineLevel="0" collapsed="false">
      <c r="A6" s="8" t="s">
        <v>85</v>
      </c>
      <c r="B6" s="31" t="n">
        <v>0.05</v>
      </c>
      <c r="C6" s="31" t="n">
        <v>0.07</v>
      </c>
      <c r="D6" s="31" t="n">
        <v>0.1</v>
      </c>
      <c r="E6" s="10" t="n">
        <f aca="false">Assumptions!E8</f>
        <v>0.08</v>
      </c>
    </row>
    <row r="7" customFormat="false" ht="15" hidden="false" customHeight="true" outlineLevel="0" collapsed="false">
      <c r="A7" s="8" t="s">
        <v>98</v>
      </c>
      <c r="B7" s="31" t="n">
        <v>0.05</v>
      </c>
      <c r="C7" s="31" t="n">
        <v>0.06</v>
      </c>
      <c r="D7" s="31" t="n">
        <v>0.08</v>
      </c>
      <c r="E7" s="10" t="n">
        <f aca="false">Assumptions!E22</f>
        <v>0.07</v>
      </c>
    </row>
    <row r="8" customFormat="false" ht="15" hidden="false" customHeight="true" outlineLevel="0" collapsed="false">
      <c r="A8" s="8" t="s">
        <v>158</v>
      </c>
      <c r="B8" s="31" t="n">
        <v>0.1105</v>
      </c>
      <c r="C8" s="31" t="n">
        <v>0.1125</v>
      </c>
      <c r="D8" s="31" t="n">
        <v>0.1135</v>
      </c>
      <c r="E8" s="10" t="n">
        <f aca="false">Assumptions!E26</f>
        <v>0.112</v>
      </c>
    </row>
    <row r="9" customFormat="false" ht="15" hidden="false" customHeight="true" outlineLevel="0" collapsed="false">
      <c r="A9" s="8" t="s">
        <v>20</v>
      </c>
      <c r="B9" s="31" t="n">
        <v>0.0935</v>
      </c>
      <c r="C9" s="31" t="n">
        <v>0.093</v>
      </c>
      <c r="D9" s="31" t="n">
        <v>0.0922</v>
      </c>
      <c r="E9" s="10" t="n">
        <f aca="false">Assumptions!E27</f>
        <v>0.0928</v>
      </c>
    </row>
    <row r="10" customFormat="false" ht="15" hidden="false" customHeight="true" outlineLevel="0" collapsed="false">
      <c r="A10" s="8" t="s">
        <v>111</v>
      </c>
      <c r="B10" s="31" t="n">
        <v>0.255</v>
      </c>
      <c r="C10" s="31" t="n">
        <v>0.25</v>
      </c>
      <c r="D10" s="31" t="n">
        <v>0.245</v>
      </c>
      <c r="E10" s="10" t="n">
        <f aca="false">Assumptions!E32</f>
        <v>0.25</v>
      </c>
    </row>
    <row r="11" customFormat="false" ht="15" hidden="false" customHeight="true" outlineLevel="0" collapsed="false">
      <c r="A11" s="8" t="s">
        <v>107</v>
      </c>
      <c r="B11" s="34" t="n">
        <v>150</v>
      </c>
      <c r="C11" s="34" t="n">
        <v>145</v>
      </c>
      <c r="D11" s="34" t="n">
        <v>140</v>
      </c>
      <c r="E11" s="21" t="n">
        <f aca="false">Assumptions!E30</f>
        <v>150</v>
      </c>
    </row>
    <row r="12" customFormat="false" ht="15" hidden="false" customHeight="true" outlineLevel="0" collapsed="false">
      <c r="A12" s="8" t="s">
        <v>159</v>
      </c>
      <c r="B12" s="34" t="n">
        <v>500</v>
      </c>
      <c r="C12" s="34" t="n">
        <v>525</v>
      </c>
      <c r="D12" s="34" t="n">
        <v>550</v>
      </c>
      <c r="E12" s="21" t="n">
        <f aca="false">Assumptions!E31</f>
        <v>550</v>
      </c>
    </row>
    <row r="14" customFormat="false" ht="15" hidden="false" customHeight="true" outlineLevel="0" collapsed="false">
      <c r="A14" s="6" t="s">
        <v>160</v>
      </c>
      <c r="B14" s="7"/>
      <c r="C14" s="7"/>
      <c r="D14" s="7"/>
      <c r="E14" s="7"/>
    </row>
    <row r="15" customFormat="false" ht="15" hidden="false" customHeight="true" outlineLevel="0" collapsed="false">
      <c r="A15" s="8" t="s">
        <v>8</v>
      </c>
      <c r="B15" s="21" t="n">
        <f aca="false">'Income Statement'!E6*(1+B6)</f>
        <v>306080.208</v>
      </c>
      <c r="C15" s="21" t="n">
        <f aca="false">'Income Statement'!E6*(1+C6)</f>
        <v>311910.3072</v>
      </c>
      <c r="D15" s="21" t="n">
        <f aca="false">'Income Statement'!E6*(1+D6)</f>
        <v>320655.456</v>
      </c>
      <c r="E15" s="21" t="n">
        <f aca="false">'Income Statement'!E6</f>
        <v>291504.96</v>
      </c>
    </row>
    <row r="16" customFormat="false" ht="15" hidden="false" customHeight="true" outlineLevel="0" collapsed="false">
      <c r="A16" s="8" t="s">
        <v>9</v>
      </c>
      <c r="B16" s="21" t="n">
        <f aca="false">'Income Statement'!E7*(1+B7)</f>
        <v>5980.3905</v>
      </c>
      <c r="C16" s="21" t="n">
        <f aca="false">'Income Statement'!E7*(1+C7)</f>
        <v>6037.3466</v>
      </c>
      <c r="D16" s="21" t="n">
        <f aca="false">'Income Statement'!E7*(1+D7)</f>
        <v>6151.2588</v>
      </c>
      <c r="E16" s="21" t="n">
        <f aca="false">'Income Statement'!E7</f>
        <v>5695.61</v>
      </c>
    </row>
    <row r="17" customFormat="false" ht="15" hidden="false" customHeight="true" outlineLevel="0" collapsed="false">
      <c r="A17" s="22" t="s">
        <v>10</v>
      </c>
      <c r="B17" s="42" t="n">
        <f aca="false">B15+B16</f>
        <v>312060.5985</v>
      </c>
      <c r="C17" s="42" t="n">
        <f aca="false">C15+C16</f>
        <v>317947.6538</v>
      </c>
      <c r="D17" s="42" t="n">
        <f aca="false">D15+D16</f>
        <v>326806.7148</v>
      </c>
      <c r="E17" s="42" t="n">
        <f aca="false">E15+E16</f>
        <v>297200.57</v>
      </c>
    </row>
    <row r="18" customFormat="false" ht="15" hidden="false" customHeight="true" outlineLevel="0" collapsed="false">
      <c r="A18" s="8" t="s">
        <v>11</v>
      </c>
      <c r="B18" s="21" t="n">
        <f aca="false">B15*(1-B8)</f>
        <v>272258.345016</v>
      </c>
      <c r="C18" s="21" t="n">
        <f aca="false">C15*(1-C8)</f>
        <v>276820.39764</v>
      </c>
      <c r="D18" s="21" t="n">
        <f aca="false">D15*(1-D8)</f>
        <v>284261.061744</v>
      </c>
      <c r="E18" s="21" t="n">
        <f aca="false">'Income Statement'!E10</f>
        <v>258856.40448</v>
      </c>
    </row>
    <row r="19" customFormat="false" ht="15" hidden="false" customHeight="true" outlineLevel="0" collapsed="false">
      <c r="A19" s="22" t="s">
        <v>12</v>
      </c>
      <c r="B19" s="44" t="n">
        <f aca="false">B17-B18</f>
        <v>39802.253484</v>
      </c>
      <c r="C19" s="44" t="n">
        <f aca="false">C17-C18</f>
        <v>41127.25616</v>
      </c>
      <c r="D19" s="44" t="n">
        <f aca="false">D17-D18</f>
        <v>42545.653056</v>
      </c>
      <c r="E19" s="44" t="n">
        <f aca="false">E17-E18</f>
        <v>38344.16552</v>
      </c>
    </row>
    <row r="20" customFormat="false" ht="15" hidden="false" customHeight="true" outlineLevel="0" collapsed="false">
      <c r="A20" s="8" t="s">
        <v>13</v>
      </c>
      <c r="B20" s="21" t="n">
        <f aca="false">B15*B9</f>
        <v>28618.499448</v>
      </c>
      <c r="C20" s="21" t="n">
        <f aca="false">C15*C9</f>
        <v>29007.6585696</v>
      </c>
      <c r="D20" s="21" t="n">
        <f aca="false">D15*D9</f>
        <v>29564.4330432</v>
      </c>
      <c r="E20" s="21" t="n">
        <f aca="false">'Income Statement'!E12</f>
        <v>27051.660288</v>
      </c>
    </row>
    <row r="21" customFormat="false" ht="15" hidden="false" customHeight="true" outlineLevel="0" collapsed="false">
      <c r="A21" s="22" t="s">
        <v>14</v>
      </c>
      <c r="B21" s="41" t="n">
        <f aca="false">B19-B20</f>
        <v>11183.754036</v>
      </c>
      <c r="C21" s="41" t="n">
        <f aca="false">C19-C20</f>
        <v>12119.5975904</v>
      </c>
      <c r="D21" s="41" t="n">
        <f aca="false">D19-D20</f>
        <v>12981.2200128</v>
      </c>
      <c r="E21" s="41" t="n">
        <f aca="false">E19-E20</f>
        <v>11292.505232</v>
      </c>
    </row>
    <row r="22" customFormat="false" ht="15" hidden="false" customHeight="true" outlineLevel="0" collapsed="false">
      <c r="A22" s="8" t="s">
        <v>161</v>
      </c>
      <c r="B22" s="21" t="n">
        <f aca="false">B21-B11+B12</f>
        <v>11533.754036</v>
      </c>
      <c r="C22" s="21" t="n">
        <f aca="false">C21-C11+C12</f>
        <v>12499.5975904</v>
      </c>
      <c r="D22" s="21" t="n">
        <f aca="false">D21-D11+D12</f>
        <v>13391.2200128</v>
      </c>
      <c r="E22" s="21" t="n">
        <f aca="false">'Income Statement'!E18</f>
        <v>11692.505232</v>
      </c>
    </row>
    <row r="23" customFormat="false" ht="15" hidden="false" customHeight="true" outlineLevel="0" collapsed="false">
      <c r="A23" s="22" t="s">
        <v>15</v>
      </c>
      <c r="B23" s="45" t="n">
        <f aca="false">B22*(1-B10)</f>
        <v>8592.64675681999</v>
      </c>
      <c r="C23" s="45" t="n">
        <f aca="false">C22*(1-C10)</f>
        <v>9374.69819279999</v>
      </c>
      <c r="D23" s="45" t="n">
        <f aca="false">D22*(1-D10)</f>
        <v>10110.371109664</v>
      </c>
      <c r="E23" s="47" t="n">
        <f aca="false">'Income Statement'!E20</f>
        <v>8769.37892399999</v>
      </c>
    </row>
    <row r="24" customFormat="false" ht="15" hidden="false" customHeight="true" outlineLevel="0" collapsed="false">
      <c r="A24" s="22" t="s">
        <v>16</v>
      </c>
      <c r="B24" s="46" t="n">
        <f aca="false">B23/Assumptions!F40</f>
        <v>19.3006441078616</v>
      </c>
      <c r="C24" s="46" t="n">
        <f aca="false">C23/Assumptions!F40</f>
        <v>21.0572735687331</v>
      </c>
      <c r="D24" s="46" t="n">
        <f aca="false">D23/Assumptions!F40</f>
        <v>22.7097284583648</v>
      </c>
      <c r="E24" s="48" t="n">
        <f aca="false">'Income Statement'!E22</f>
        <v>19.7064694921348</v>
      </c>
    </row>
    <row r="26" customFormat="false" ht="15" hidden="false" customHeight="true" outlineLevel="0" collapsed="false">
      <c r="A26" s="6" t="s">
        <v>162</v>
      </c>
      <c r="B26" s="7"/>
      <c r="C26" s="7"/>
      <c r="D26" s="7"/>
      <c r="E26" s="7"/>
    </row>
    <row r="27" customFormat="false" ht="15" hidden="false" customHeight="true" outlineLevel="0" collapsed="false">
      <c r="A27" s="8" t="s">
        <v>21</v>
      </c>
      <c r="B27" s="10" t="n">
        <f aca="false">B21/B17</f>
        <v>0.0358384047513771</v>
      </c>
      <c r="C27" s="10" t="n">
        <f aca="false">C21/C17</f>
        <v>0.0381182167742104</v>
      </c>
      <c r="D27" s="10" t="n">
        <f aca="false">D21/D17</f>
        <v>0.0397213993009424</v>
      </c>
      <c r="E27" s="10" t="n">
        <f aca="false">E21/E17</f>
        <v>0.0379962435199905</v>
      </c>
    </row>
    <row r="28" customFormat="false" ht="15" hidden="false" customHeight="true" outlineLevel="0" collapsed="false">
      <c r="A28" s="8" t="s">
        <v>22</v>
      </c>
      <c r="B28" s="10" t="n">
        <f aca="false">B23/B17</f>
        <v>0.0275351864289268</v>
      </c>
      <c r="C28" s="10" t="n">
        <f aca="false">C23/C17</f>
        <v>0.0294850365484911</v>
      </c>
      <c r="D28" s="10" t="n">
        <f aca="false">D23/D17</f>
        <v>0.0309368524323356</v>
      </c>
      <c r="E28" s="10" t="n">
        <f aca="false">E23/E17</f>
        <v>0.0295066019691685</v>
      </c>
    </row>
    <row r="29" customFormat="false" ht="15" hidden="false" customHeight="true" outlineLevel="0" collapsed="false">
      <c r="A29" s="8" t="s">
        <v>163</v>
      </c>
      <c r="B29" s="10" t="n">
        <f aca="false">(B24-C24)/C24</f>
        <v>-0.0834215054070367</v>
      </c>
      <c r="C29" s="10" t="n">
        <v>0</v>
      </c>
      <c r="D29" s="10" t="n">
        <f aca="false">(D24-C24)/C24</f>
        <v>0.0784743041038943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164</v>
      </c>
    </row>
    <row r="3" customFormat="false" ht="15" hidden="false" customHeight="true" outlineLevel="0" collapsed="false">
      <c r="A3" s="4" t="s">
        <v>40</v>
      </c>
    </row>
    <row r="4" customFormat="false" ht="15" hidden="false" customHeight="true" outlineLevel="0" collapsed="false">
      <c r="A4" s="5"/>
      <c r="B4" s="5" t="s">
        <v>3</v>
      </c>
      <c r="C4" s="5" t="s">
        <v>4</v>
      </c>
      <c r="D4" s="5" t="s">
        <v>5</v>
      </c>
      <c r="E4" s="5" t="s">
        <v>41</v>
      </c>
      <c r="F4" s="5" t="s">
        <v>42</v>
      </c>
    </row>
    <row r="5" customFormat="false" ht="15" hidden="false" customHeight="true" outlineLevel="0" collapsed="false">
      <c r="A5" s="6" t="s">
        <v>165</v>
      </c>
      <c r="B5" s="7"/>
      <c r="C5" s="7"/>
      <c r="D5" s="7"/>
      <c r="E5" s="7"/>
      <c r="F5" s="7"/>
    </row>
    <row r="6" customFormat="false" ht="15" hidden="false" customHeight="true" outlineLevel="0" collapsed="false">
      <c r="A6" s="22" t="s">
        <v>15</v>
      </c>
      <c r="B6" s="21" t="n">
        <f aca="false">'Income Statement'!B20</f>
        <v>6292</v>
      </c>
      <c r="C6" s="21" t="n">
        <f aca="false">'Income Statement'!C20</f>
        <v>7367</v>
      </c>
      <c r="D6" s="21" t="n">
        <f aca="false">'Income Statement'!D20</f>
        <v>8099</v>
      </c>
      <c r="E6" s="21" t="n">
        <f aca="false">'Income Statement'!E20</f>
        <v>8769.37892399999</v>
      </c>
      <c r="F6" s="21" t="n">
        <f aca="false">'Income Statement'!F20</f>
        <v>9374.69819279999</v>
      </c>
    </row>
    <row r="7" customFormat="false" ht="15" hidden="false" customHeight="true" outlineLevel="0" collapsed="false">
      <c r="A7" s="8" t="s">
        <v>166</v>
      </c>
      <c r="B7" s="21" t="n">
        <f aca="false">Assumptions!B35</f>
        <v>2489</v>
      </c>
      <c r="C7" s="21" t="n">
        <f aca="false">Assumptions!C35</f>
        <v>2237</v>
      </c>
      <c r="D7" s="21" t="n">
        <f aca="false">Assumptions!D35</f>
        <v>2426</v>
      </c>
      <c r="E7" s="21" t="n">
        <f aca="false">Assumptions!E35</f>
        <v>2600</v>
      </c>
      <c r="F7" s="21" t="n">
        <f aca="false">Assumptions!F35</f>
        <v>2780</v>
      </c>
    </row>
    <row r="8" customFormat="false" ht="15" hidden="false" customHeight="true" outlineLevel="0" collapsed="false">
      <c r="A8" s="8" t="s">
        <v>167</v>
      </c>
      <c r="B8" s="21" t="n">
        <f aca="false">Assumptions!B36</f>
        <v>774</v>
      </c>
      <c r="C8" s="21" t="n">
        <f aca="false">Assumptions!C36</f>
        <v>818</v>
      </c>
      <c r="D8" s="21" t="n">
        <f aca="false">Assumptions!D36</f>
        <v>860</v>
      </c>
      <c r="E8" s="21" t="n">
        <f aca="false">Assumptions!E36</f>
        <v>900</v>
      </c>
      <c r="F8" s="21" t="n">
        <f aca="false">Assumptions!F36</f>
        <v>940</v>
      </c>
    </row>
    <row r="9" customFormat="false" ht="15" hidden="false" customHeight="true" outlineLevel="0" collapsed="false">
      <c r="A9" s="8" t="s">
        <v>168</v>
      </c>
      <c r="B9" s="43" t="n">
        <f aca="false">Assumptions!B38</f>
        <v>1018</v>
      </c>
      <c r="C9" s="43" t="n">
        <f aca="false">Assumptions!C38</f>
        <v>611</v>
      </c>
      <c r="D9" s="43" t="n">
        <f aca="false">Assumptions!D38</f>
        <v>1764</v>
      </c>
      <c r="E9" s="43" t="n">
        <f aca="false">Assumptions!E38</f>
        <v>800</v>
      </c>
      <c r="F9" s="43" t="n">
        <f aca="false">Assumptions!F38</f>
        <v>700</v>
      </c>
    </row>
    <row r="10" customFormat="false" ht="15" hidden="false" customHeight="true" outlineLevel="0" collapsed="false">
      <c r="A10" s="8" t="s">
        <v>169</v>
      </c>
      <c r="B10" s="21" t="n">
        <f aca="false">Assumptions!B39</f>
        <v>495</v>
      </c>
      <c r="C10" s="21" t="n">
        <f aca="false">Assumptions!C39</f>
        <v>306</v>
      </c>
      <c r="D10" s="21" t="n">
        <f aca="false">Assumptions!D39</f>
        <v>186</v>
      </c>
      <c r="E10" s="21" t="n">
        <f aca="false">Assumptions!E39</f>
        <v>300</v>
      </c>
      <c r="F10" s="21" t="n">
        <f aca="false">Assumptions!F39</f>
        <v>300</v>
      </c>
    </row>
    <row r="11" customFormat="false" ht="15" hidden="false" customHeight="true" outlineLevel="0" collapsed="false">
      <c r="A11" s="22" t="s">
        <v>25</v>
      </c>
      <c r="B11" s="42" t="n">
        <f aca="false">SUM(B6:B10)</f>
        <v>11068</v>
      </c>
      <c r="C11" s="42" t="n">
        <f aca="false">SUM(C6:C10)</f>
        <v>11339</v>
      </c>
      <c r="D11" s="42" t="n">
        <f aca="false">SUM(D6:D10)</f>
        <v>13335</v>
      </c>
      <c r="E11" s="42" t="n">
        <f aca="false">SUM(E6:E10)</f>
        <v>13369.378924</v>
      </c>
      <c r="F11" s="42" t="n">
        <f aca="false">SUM(F6:F10)</f>
        <v>14094.6981928</v>
      </c>
    </row>
    <row r="12" customFormat="false" ht="15" hidden="false" customHeight="true" outlineLevel="0" collapsed="false">
      <c r="A12" s="8" t="s">
        <v>170</v>
      </c>
      <c r="B12" s="43" t="n">
        <f aca="false">-Assumptions!B37</f>
        <v>-4323</v>
      </c>
      <c r="C12" s="43" t="n">
        <f aca="false">-Assumptions!C37</f>
        <v>-4710</v>
      </c>
      <c r="D12" s="43" t="n">
        <f aca="false">-Assumptions!D37</f>
        <v>-5498</v>
      </c>
      <c r="E12" s="43" t="n">
        <f aca="false">-Assumptions!E37</f>
        <v>-6250</v>
      </c>
      <c r="F12" s="43" t="n">
        <f aca="false">-Assumptions!F37</f>
        <v>-6500</v>
      </c>
    </row>
    <row r="13" customFormat="false" ht="15" hidden="false" customHeight="true" outlineLevel="0" collapsed="false">
      <c r="A13" s="22" t="s">
        <v>171</v>
      </c>
      <c r="B13" s="45" t="n">
        <f aca="false">B11+B12</f>
        <v>6745</v>
      </c>
      <c r="C13" s="45" t="n">
        <f aca="false">C11+C12</f>
        <v>6629</v>
      </c>
      <c r="D13" s="45" t="n">
        <f aca="false">D11+D12</f>
        <v>7837</v>
      </c>
      <c r="E13" s="45" t="n">
        <f aca="false">E11+E12</f>
        <v>7119.37892399999</v>
      </c>
      <c r="F13" s="45" t="n">
        <f aca="false">F11+F12</f>
        <v>7594.69819279999</v>
      </c>
    </row>
    <row r="14" customFormat="false" ht="15" hidden="false" customHeight="true" outlineLevel="0" collapsed="false">
      <c r="A14" s="8" t="s">
        <v>172</v>
      </c>
      <c r="B14" s="10" t="n">
        <f aca="false">B13/'Income Statement'!B8</f>
        <v>0.0278385405918527</v>
      </c>
      <c r="C14" s="10" t="n">
        <f aca="false">C13/'Income Statement'!C8</f>
        <v>0.0260519624449309</v>
      </c>
      <c r="D14" s="10" t="n">
        <f aca="false">D13/'Income Statement'!D8</f>
        <v>0.0284738496194161</v>
      </c>
      <c r="E14" s="10" t="n">
        <f aca="false">E13/'Income Statement'!E8</f>
        <v>0.0239547956587028</v>
      </c>
      <c r="F14" s="10" t="n">
        <f aca="false">F13/'Income Statement'!F8</f>
        <v>0.023886630714304</v>
      </c>
    </row>
    <row r="15" customFormat="false" ht="15" hidden="false" customHeight="true" outlineLevel="0" collapsed="false">
      <c r="A15" s="8" t="s">
        <v>173</v>
      </c>
      <c r="B15" s="48" t="n">
        <f aca="false">B13/Assumptions!B40</f>
        <v>15.1759920081359</v>
      </c>
      <c r="C15" s="48" t="n">
        <f aca="false">C13/Assumptions!C40</f>
        <v>14.9047011977273</v>
      </c>
      <c r="D15" s="48" t="n">
        <f aca="false">D13/Assumptions!D40</f>
        <v>17.6190358428338</v>
      </c>
      <c r="E15" s="48" t="n">
        <f aca="false">E13/Assumptions!E40</f>
        <v>15.9986043235955</v>
      </c>
      <c r="F15" s="48" t="n">
        <f aca="false">F13/Assumptions!F40</f>
        <v>17.0590705139263</v>
      </c>
    </row>
    <row r="16" customFormat="false" ht="15" hidden="false" customHeight="true" outlineLevel="0" collapsed="false">
      <c r="A16" s="22" t="s">
        <v>29</v>
      </c>
      <c r="B16" s="44" t="n">
        <f aca="false">'Income Statement'!B39</f>
        <v>10603</v>
      </c>
      <c r="C16" s="44" t="n">
        <f aca="false">'Income Statement'!C39</f>
        <v>11522</v>
      </c>
      <c r="D16" s="44" t="n">
        <f aca="false">'Income Statement'!D39</f>
        <v>12809</v>
      </c>
      <c r="E16" s="44" t="n">
        <f aca="false">'Income Statement'!E39</f>
        <v>13892.505232</v>
      </c>
      <c r="F16" s="44" t="n">
        <f aca="false">'Income Statement'!F39</f>
        <v>14899.5975904</v>
      </c>
    </row>
    <row r="18" customFormat="false" ht="15" hidden="false" customHeight="true" outlineLevel="0" collapsed="false">
      <c r="A18" s="6" t="s">
        <v>174</v>
      </c>
      <c r="B18" s="7"/>
      <c r="C18" s="7"/>
      <c r="D18" s="7"/>
      <c r="E18" s="7"/>
      <c r="F18" s="7"/>
    </row>
    <row r="19" customFormat="false" ht="15" hidden="false" customHeight="true" outlineLevel="0" collapsed="false">
      <c r="A19" s="49" t="s">
        <v>175</v>
      </c>
    </row>
    <row r="20" customFormat="false" ht="15" hidden="false" customHeight="true" outlineLevel="0" collapsed="false">
      <c r="A20" s="8" t="s">
        <v>176</v>
      </c>
      <c r="B20" s="50" t="n">
        <v>1005.3</v>
      </c>
    </row>
    <row r="21" customFormat="false" ht="15" hidden="false" customHeight="true" outlineLevel="0" collapsed="false">
      <c r="A21" s="8" t="s">
        <v>143</v>
      </c>
      <c r="B21" s="23" t="n">
        <f aca="false">Assumptions!F40</f>
        <v>445.2</v>
      </c>
    </row>
    <row r="22" customFormat="false" ht="15" hidden="false" customHeight="true" outlineLevel="0" collapsed="false">
      <c r="A22" s="8" t="s">
        <v>177</v>
      </c>
      <c r="B22" s="21" t="n">
        <f aca="false">B20*B21</f>
        <v>447559.56</v>
      </c>
    </row>
    <row r="23" customFormat="false" ht="15" hidden="false" customHeight="true" outlineLevel="0" collapsed="false">
      <c r="A23" s="8" t="s">
        <v>178</v>
      </c>
      <c r="B23" s="9" t="n">
        <v>9935</v>
      </c>
    </row>
    <row r="24" customFormat="false" ht="15" hidden="false" customHeight="true" outlineLevel="0" collapsed="false">
      <c r="A24" s="8" t="s">
        <v>179</v>
      </c>
      <c r="B24" s="9" t="n">
        <v>15284</v>
      </c>
    </row>
    <row r="25" customFormat="false" ht="15" hidden="false" customHeight="true" outlineLevel="0" collapsed="false">
      <c r="A25" s="8" t="s">
        <v>180</v>
      </c>
      <c r="B25" s="43" t="n">
        <f aca="false">B23-B24</f>
        <v>-5349</v>
      </c>
    </row>
    <row r="26" customFormat="false" ht="15" hidden="false" customHeight="true" outlineLevel="0" collapsed="false">
      <c r="A26" s="22" t="s">
        <v>181</v>
      </c>
      <c r="B26" s="41" t="n">
        <f aca="false">B22+B25</f>
        <v>442210.56</v>
      </c>
    </row>
    <row r="28" customFormat="false" ht="15" hidden="false" customHeight="true" outlineLevel="0" collapsed="false">
      <c r="A28" s="49" t="s">
        <v>182</v>
      </c>
    </row>
    <row r="29" customFormat="false" ht="15" hidden="false" customHeight="true" outlineLevel="0" collapsed="false">
      <c r="A29" s="8" t="s">
        <v>183</v>
      </c>
      <c r="B29" s="51" t="n">
        <f aca="false">B20/'Income Statement'!D22</f>
        <v>55.2118108284974</v>
      </c>
    </row>
    <row r="30" customFormat="false" ht="15" hidden="false" customHeight="true" outlineLevel="0" collapsed="false">
      <c r="A30" s="8" t="s">
        <v>184</v>
      </c>
      <c r="B30" s="51" t="n">
        <f aca="false">B26/'Income Statement'!D39</f>
        <v>34.5234257162932</v>
      </c>
    </row>
    <row r="32" customFormat="false" ht="15" hidden="false" customHeight="true" outlineLevel="0" collapsed="false">
      <c r="A32" s="6" t="s">
        <v>185</v>
      </c>
      <c r="B32" s="7"/>
      <c r="C32" s="7"/>
      <c r="D32" s="7"/>
      <c r="E32" s="7"/>
      <c r="F32" s="7"/>
    </row>
    <row r="33" customFormat="false" ht="15" hidden="false" customHeight="true" outlineLevel="0" collapsed="false">
      <c r="A33" s="5"/>
      <c r="B33" s="5" t="s">
        <v>186</v>
      </c>
      <c r="C33" s="5" t="s">
        <v>187</v>
      </c>
      <c r="D33" s="5" t="s">
        <v>188</v>
      </c>
      <c r="E33" s="5"/>
    </row>
    <row r="34" customFormat="false" ht="15" hidden="false" customHeight="true" outlineLevel="0" collapsed="false">
      <c r="A34" s="8" t="s">
        <v>189</v>
      </c>
      <c r="B34" s="52" t="n">
        <v>35</v>
      </c>
      <c r="C34" s="52" t="n">
        <v>50</v>
      </c>
      <c r="D34" s="52" t="n">
        <v>58</v>
      </c>
    </row>
    <row r="35" customFormat="false" ht="15" hidden="false" customHeight="true" outlineLevel="0" collapsed="false">
      <c r="A35" s="8" t="s">
        <v>190</v>
      </c>
      <c r="B35" s="48" t="n">
        <f aca="false">'Income Statement'!F22</f>
        <v>21.0572735687331</v>
      </c>
      <c r="C35" s="48" t="n">
        <f aca="false">'Income Statement'!F22</f>
        <v>21.0572735687331</v>
      </c>
      <c r="D35" s="48" t="n">
        <f aca="false">'Income Statement'!F22</f>
        <v>21.0572735687331</v>
      </c>
    </row>
    <row r="36" customFormat="false" ht="15" hidden="false" customHeight="true" outlineLevel="0" collapsed="false">
      <c r="A36" s="22" t="s">
        <v>191</v>
      </c>
      <c r="B36" s="53" t="n">
        <f aca="false">B34*B35</f>
        <v>737.00457490566</v>
      </c>
      <c r="C36" s="53" t="n">
        <f aca="false">C34*C35</f>
        <v>1052.86367843666</v>
      </c>
      <c r="D36" s="53" t="n">
        <f aca="false">D34*D35</f>
        <v>1221.32186698652</v>
      </c>
    </row>
    <row r="37" customFormat="false" ht="15" hidden="false" customHeight="true" outlineLevel="0" collapsed="false">
      <c r="A37" s="8" t="s">
        <v>192</v>
      </c>
      <c r="B37" s="10" t="n">
        <f aca="false">(B36-$B$20)/$B$20</f>
        <v>-0.266880956027395</v>
      </c>
      <c r="C37" s="10" t="n">
        <f aca="false">(C36-$B$20)/$B$20</f>
        <v>0.047312919960864</v>
      </c>
      <c r="D37" s="10" t="n">
        <f aca="false">(D36-$B$20)/$B$20</f>
        <v>0.214882987154602</v>
      </c>
    </row>
    <row r="39" customFormat="false" ht="15" hidden="false" customHeight="true" outlineLevel="0" collapsed="false">
      <c r="A39" s="8" t="s">
        <v>193</v>
      </c>
      <c r="B39" s="52" t="n">
        <v>30</v>
      </c>
      <c r="C39" s="52" t="n">
        <v>34</v>
      </c>
      <c r="D39" s="52" t="n">
        <v>38</v>
      </c>
    </row>
    <row r="40" customFormat="false" ht="15" hidden="false" customHeight="true" outlineLevel="0" collapsed="false">
      <c r="A40" s="8" t="s">
        <v>194</v>
      </c>
      <c r="B40" s="21" t="n">
        <f aca="false">'Income Statement'!F39</f>
        <v>14899.5975904</v>
      </c>
      <c r="C40" s="21" t="n">
        <f aca="false">'Income Statement'!F39</f>
        <v>14899.5975904</v>
      </c>
      <c r="D40" s="21" t="n">
        <f aca="false">'Income Statement'!F39</f>
        <v>14899.5975904</v>
      </c>
    </row>
    <row r="41" customFormat="false" ht="15" hidden="false" customHeight="true" outlineLevel="0" collapsed="false">
      <c r="A41" s="8" t="s">
        <v>195</v>
      </c>
      <c r="B41" s="21" t="n">
        <f aca="false">B39*B40</f>
        <v>446987.927712</v>
      </c>
      <c r="C41" s="21" t="n">
        <f aca="false">C39*C40</f>
        <v>506586.3180736</v>
      </c>
      <c r="D41" s="21" t="n">
        <f aca="false">D39*D40</f>
        <v>566184.7084352</v>
      </c>
    </row>
    <row r="42" customFormat="false" ht="15" hidden="false" customHeight="true" outlineLevel="0" collapsed="false">
      <c r="A42" s="8" t="s">
        <v>196</v>
      </c>
      <c r="B42" s="21" t="n">
        <f aca="false">B41-$B$25</f>
        <v>452336.927712</v>
      </c>
      <c r="C42" s="21" t="n">
        <f aca="false">C41-$B$25</f>
        <v>511935.3180736</v>
      </c>
      <c r="D42" s="21" t="n">
        <f aca="false">D41-$B$25</f>
        <v>571533.7084352</v>
      </c>
    </row>
    <row r="43" customFormat="false" ht="15" hidden="false" customHeight="true" outlineLevel="0" collapsed="false">
      <c r="A43" s="22" t="s">
        <v>197</v>
      </c>
      <c r="B43" s="53" t="n">
        <f aca="false">B42/$B$21</f>
        <v>1016.03083493261</v>
      </c>
      <c r="C43" s="53" t="n">
        <f aca="false">C42/$B$21</f>
        <v>1149.89963628392</v>
      </c>
      <c r="D43" s="53" t="n">
        <f aca="false">D42/$B$21</f>
        <v>1283.76843763522</v>
      </c>
    </row>
    <row r="44" customFormat="false" ht="15" hidden="false" customHeight="true" outlineLevel="0" collapsed="false">
      <c r="A44" s="8" t="s">
        <v>192</v>
      </c>
      <c r="B44" s="10" t="n">
        <f aca="false">(B43-$B$20)/$B$20</f>
        <v>0.0106742613474721</v>
      </c>
      <c r="C44" s="10" t="n">
        <f aca="false">(C43-$B$20)/$B$20</f>
        <v>0.143837298601329</v>
      </c>
      <c r="D44" s="10" t="n">
        <f aca="false">(D43-$B$20)/$B$20</f>
        <v>0.277000335855187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2026-03-09T22:56:52Z</dcterms:created>
  <dc:creator>openpyxl</dc:creator>
  <dc:description/>
  <dc:language>en-US</dc:language>
  <cp:lastModifiedBy/>
  <dcterms:modified xsi:type="dcterms:W3CDTF">2026-03-10T01:56:01Z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